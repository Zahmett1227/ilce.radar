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8_{7BAD43D0-EBC7-46B4-A5EF-66F883E4F4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tricts_app" sheetId="1" r:id="rId1"/>
    <sheet name="metric_config" sheetId="2" r:id="rId2"/>
    <sheet name="readme" sheetId="3" r:id="rId3"/>
    <sheet name="score_playgroun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4" l="1"/>
  <c r="G101" i="4"/>
  <c r="F101" i="4"/>
  <c r="H100" i="4"/>
  <c r="G100" i="4"/>
  <c r="F100" i="4"/>
  <c r="H99" i="4"/>
  <c r="G99" i="4"/>
  <c r="F99" i="4"/>
  <c r="H98" i="4"/>
  <c r="G98" i="4"/>
  <c r="F98" i="4"/>
  <c r="H97" i="4"/>
  <c r="G97" i="4"/>
  <c r="F97" i="4"/>
  <c r="H96" i="4"/>
  <c r="G96" i="4"/>
  <c r="F9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H2" i="4"/>
  <c r="G2" i="4"/>
  <c r="F2" i="4"/>
</calcChain>
</file>

<file path=xl/sharedStrings.xml><?xml version="1.0" encoding="utf-8"?>
<sst xmlns="http://schemas.openxmlformats.org/spreadsheetml/2006/main" count="1121" uniqueCount="460">
  <si>
    <t>district_id</t>
  </si>
  <si>
    <t>il</t>
  </si>
  <si>
    <t>ilce</t>
  </si>
  <si>
    <t>full_name</t>
  </si>
  <si>
    <t>default_overall_score_100</t>
  </si>
  <si>
    <t>model_rank</t>
  </si>
  <si>
    <t>sege_rank</t>
  </si>
  <si>
    <t>sege_score</t>
  </si>
  <si>
    <t>sege_tier</t>
  </si>
  <si>
    <t>population_2024</t>
  </si>
  <si>
    <t>social_culture_score_20</t>
  </si>
  <si>
    <t>sea_access_score_20</t>
  </si>
  <si>
    <t>sea_category</t>
  </si>
  <si>
    <t>earthquake_safety_score_20</t>
  </si>
  <si>
    <t>earthquake_risk_band</t>
  </si>
  <si>
    <t>low_crowding_score_20</t>
  </si>
  <si>
    <t>judicial_low_event_score_20</t>
  </si>
  <si>
    <t>judicial_region</t>
  </si>
  <si>
    <t>affordability_score_20</t>
  </si>
  <si>
    <t>endeksa_data_level</t>
  </si>
  <si>
    <t>sale_price_m2_try</t>
  </si>
  <si>
    <t>rent_price_m2_try</t>
  </si>
  <si>
    <t>avg_rent_try</t>
  </si>
  <si>
    <t>avg_home_price_try</t>
  </si>
  <si>
    <t>rent_increase_1y_pct</t>
  </si>
  <si>
    <t>amortization_years</t>
  </si>
  <si>
    <t>listing_stock_note</t>
  </si>
  <si>
    <t>data_note</t>
  </si>
  <si>
    <t>trabzon-ortahisar</t>
  </si>
  <si>
    <t>Trabzon</t>
  </si>
  <si>
    <t>Ortahisar</t>
  </si>
  <si>
    <t>Trabzon / Ortahisar</t>
  </si>
  <si>
    <t>Kıyı / ada</t>
  </si>
  <si>
    <t>Düşük</t>
  </si>
  <si>
    <t>TR9 Doğu Karadeniz</t>
  </si>
  <si>
    <t>İl düzeyi Endeksa proxy</t>
  </si>
  <si>
    <t>Satılık stok: 3220; kiralık stok: 2790</t>
  </si>
  <si>
    <t>Adli puan İBBS-1 resmi bölge verisinden; ilçe bazında resmi suç/adli olay serisi yok. Pahalılık puanı Endeksa ham göstergelerinin min-maks ters skorudur.</t>
  </si>
  <si>
    <t>samsun-atakum</t>
  </si>
  <si>
    <t>Samsun</t>
  </si>
  <si>
    <t>Atakum</t>
  </si>
  <si>
    <t>Samsun / Atakum</t>
  </si>
  <si>
    <t>Düşük-orta</t>
  </si>
  <si>
    <t>TR8 Batı Karadeniz</t>
  </si>
  <si>
    <t>Satılık stok: 12073; kiralık stok: 8071</t>
  </si>
  <si>
    <t>samsun-ilkadim</t>
  </si>
  <si>
    <t>İlkadım</t>
  </si>
  <si>
    <t>Samsun / İlkadım</t>
  </si>
  <si>
    <t>canakkale-bozcaada</t>
  </si>
  <si>
    <t>Çanakkale</t>
  </si>
  <si>
    <t>Bozcaada</t>
  </si>
  <si>
    <t>Çanakkale / Bozcaada</t>
  </si>
  <si>
    <t>Yüksek</t>
  </si>
  <si>
    <t>TR2 Batı Marmara</t>
  </si>
  <si>
    <t>Satılık stok: 5194; kiralık stok: 3901</t>
  </si>
  <si>
    <t>tekirdag-suleymanpasa</t>
  </si>
  <si>
    <t>Tekirdağ</t>
  </si>
  <si>
    <t>Süleymanpaşa</t>
  </si>
  <si>
    <t>Tekirdağ / Süleymanpaşa</t>
  </si>
  <si>
    <t>Orta-yüksek</t>
  </si>
  <si>
    <t>Satılık stok: 19584; kiralık stok: 9037</t>
  </si>
  <si>
    <t>canakkale-merkez</t>
  </si>
  <si>
    <t>Merkez</t>
  </si>
  <si>
    <t>Çanakkale / Merkez</t>
  </si>
  <si>
    <t>izmir-balcova</t>
  </si>
  <si>
    <t>İzmir</t>
  </si>
  <si>
    <t>Balçova</t>
  </si>
  <si>
    <t>İzmir / Balçova</t>
  </si>
  <si>
    <t>TR3 Ege</t>
  </si>
  <si>
    <t>İlçe düzeyi Endeksa</t>
  </si>
  <si>
    <t>İlçe stok verisi ana tabloya aktarılmadı</t>
  </si>
  <si>
    <t>mersin-yenisehir</t>
  </si>
  <si>
    <t>Mersin</t>
  </si>
  <si>
    <t>Yenişehir</t>
  </si>
  <si>
    <t>Mersin / Yenişehir</t>
  </si>
  <si>
    <t>Orta</t>
  </si>
  <si>
    <t>TR6 Akdeniz</t>
  </si>
  <si>
    <t>Satılık stok: 17484; kiralık stok: 9252</t>
  </si>
  <si>
    <t>izmir-konak</t>
  </si>
  <si>
    <t>Konak</t>
  </si>
  <si>
    <t>İzmir / Konak</t>
  </si>
  <si>
    <t>kocaeli-basiskele</t>
  </si>
  <si>
    <t>Kocaeli</t>
  </si>
  <si>
    <t>Başiskele</t>
  </si>
  <si>
    <t>Kocaeli / Başiskele</t>
  </si>
  <si>
    <t>Çok yüksek</t>
  </si>
  <si>
    <t>TR4 Doğu Marmara</t>
  </si>
  <si>
    <t>Satılık stok: 18194; kiralık stok: 11024</t>
  </si>
  <si>
    <t>antalya-konyaalti</t>
  </si>
  <si>
    <t>Antalya</t>
  </si>
  <si>
    <t>Konyaaltı</t>
  </si>
  <si>
    <t>Antalya / Konyaaltı</t>
  </si>
  <si>
    <t>antalya-kemer</t>
  </si>
  <si>
    <t>Kemer</t>
  </si>
  <si>
    <t>Antalya / Kemer</t>
  </si>
  <si>
    <t>istanbul-fatih</t>
  </si>
  <si>
    <t>İstanbul</t>
  </si>
  <si>
    <t>Fatih</t>
  </si>
  <si>
    <t>İstanbul / Fatih</t>
  </si>
  <si>
    <t>TR1 İstanbul</t>
  </si>
  <si>
    <t>antalya-manavgat</t>
  </si>
  <si>
    <t>Manavgat</t>
  </si>
  <si>
    <t>Antalya / Manavgat</t>
  </si>
  <si>
    <t>aydin-kusadasi</t>
  </si>
  <si>
    <t>Aydın</t>
  </si>
  <si>
    <t>Kuşadası</t>
  </si>
  <si>
    <t>Aydın / Kuşadası</t>
  </si>
  <si>
    <t>Satılık stok: 15198; kiralık stok: 5840</t>
  </si>
  <si>
    <t>antalya-muratpasa</t>
  </si>
  <si>
    <t>Muratpaşa</t>
  </si>
  <si>
    <t>Antalya / Muratpaşa</t>
  </si>
  <si>
    <t>mugla-marmaris</t>
  </si>
  <si>
    <t>Muğla</t>
  </si>
  <si>
    <t>Marmaris</t>
  </si>
  <si>
    <t>Muğla / Marmaris</t>
  </si>
  <si>
    <t>izmir-cigli</t>
  </si>
  <si>
    <t>Çiğli</t>
  </si>
  <si>
    <t>İzmir / Çiğli</t>
  </si>
  <si>
    <t>tekirdag-corlu</t>
  </si>
  <si>
    <t>Çorlu</t>
  </si>
  <si>
    <t>Tekirdağ / Çorlu</t>
  </si>
  <si>
    <t>Kıyıya yakın metropol içi</t>
  </si>
  <si>
    <t>kocaeli-gebze</t>
  </si>
  <si>
    <t>Gebze</t>
  </si>
  <si>
    <t>Kocaeli / Gebze</t>
  </si>
  <si>
    <t>istanbul-besiktas</t>
  </si>
  <si>
    <t>Beşiktaş</t>
  </si>
  <si>
    <t>İstanbul / Beşiktaş</t>
  </si>
  <si>
    <t>kocaeli-izmit</t>
  </si>
  <si>
    <t>İzmit</t>
  </si>
  <si>
    <t>Kocaeli / İzmit</t>
  </si>
  <si>
    <t>mugla-fethiye</t>
  </si>
  <si>
    <t>Fethiye</t>
  </si>
  <si>
    <t>Muğla / Fethiye</t>
  </si>
  <si>
    <t>erzurum-yakutiye</t>
  </si>
  <si>
    <t>Erzurum</t>
  </si>
  <si>
    <t>Yakutiye</t>
  </si>
  <si>
    <t>Erzurum / Yakutiye</t>
  </si>
  <si>
    <t>İç kesim</t>
  </si>
  <si>
    <t>TRA Kuzeydoğu Anadolu</t>
  </si>
  <si>
    <t>Satılık stok: 3602; kiralık stok: 2400</t>
  </si>
  <si>
    <t>antalya-alanya</t>
  </si>
  <si>
    <t>Alanya</t>
  </si>
  <si>
    <t>Antalya / Alanya</t>
  </si>
  <si>
    <t>izmir-bornova</t>
  </si>
  <si>
    <t>Bornova</t>
  </si>
  <si>
    <t>İzmir / Bornova</t>
  </si>
  <si>
    <t>mugla-bodrum</t>
  </si>
  <si>
    <t>Bodrum</t>
  </si>
  <si>
    <t>Muğla / Bodrum</t>
  </si>
  <si>
    <t>istanbul-beyoglu</t>
  </si>
  <si>
    <t>Beyoğlu</t>
  </si>
  <si>
    <t>İstanbul / Beyoğlu</t>
  </si>
  <si>
    <t>kirikkale-yahsihan</t>
  </si>
  <si>
    <t>Kırıkkale</t>
  </si>
  <si>
    <t>Yahşihan</t>
  </si>
  <si>
    <t>Kırıkkale / Yahşihan</t>
  </si>
  <si>
    <t>TR7 Orta Anadolu</t>
  </si>
  <si>
    <t>Satılık stok: 1709; kiralık stok: 858</t>
  </si>
  <si>
    <t>izmir-narlidere</t>
  </si>
  <si>
    <t>Narlıdere</t>
  </si>
  <si>
    <t>İzmir / Narlıdere</t>
  </si>
  <si>
    <t>izmir-karsiyaka</t>
  </si>
  <si>
    <t>Karşıyaka</t>
  </si>
  <si>
    <t>İzmir / Karşıyaka</t>
  </si>
  <si>
    <t>izmir-bayrakli</t>
  </si>
  <si>
    <t>Bayraklı</t>
  </si>
  <si>
    <t>İzmir / Bayraklı</t>
  </si>
  <si>
    <t>izmir-guzelbahce</t>
  </si>
  <si>
    <t>Güzelbahçe</t>
  </si>
  <si>
    <t>İzmir / Güzelbahçe</t>
  </si>
  <si>
    <t>istanbul-tuzla</t>
  </si>
  <si>
    <t>Tuzla</t>
  </si>
  <si>
    <t>İstanbul / Tuzla</t>
  </si>
  <si>
    <t>izmir-cesme</t>
  </si>
  <si>
    <t>Çeşme</t>
  </si>
  <si>
    <t>İzmir / Çeşme</t>
  </si>
  <si>
    <t>izmir-urla</t>
  </si>
  <si>
    <t>Urla</t>
  </si>
  <si>
    <t>İzmir / Urla</t>
  </si>
  <si>
    <t>antalya-dosemealti</t>
  </si>
  <si>
    <t>Döşemealtı</t>
  </si>
  <si>
    <t>Antalya / Döşemealtı</t>
  </si>
  <si>
    <t>edirne-merkez</t>
  </si>
  <si>
    <t>Edirne</t>
  </si>
  <si>
    <t>Edirne / Merkez</t>
  </si>
  <si>
    <t>Satılık stok: 2654; kiralık stok: 2536</t>
  </si>
  <si>
    <t>istanbul-sisli</t>
  </si>
  <si>
    <t>Şişli</t>
  </si>
  <si>
    <t>İstanbul / Şişli</t>
  </si>
  <si>
    <t>Aynı kıyı metrosu/ili ama içte</t>
  </si>
  <si>
    <t>istanbul-beylikduzu</t>
  </si>
  <si>
    <t>Beylikdüzü</t>
  </si>
  <si>
    <t>İstanbul / Beylikdüzü</t>
  </si>
  <si>
    <t>istanbul-buyukcekmece</t>
  </si>
  <si>
    <t>Büyükçekmece</t>
  </si>
  <si>
    <t>İstanbul / Büyükçekmece</t>
  </si>
  <si>
    <t>istanbul-bakirkoy</t>
  </si>
  <si>
    <t>Bakırköy</t>
  </si>
  <si>
    <t>İstanbul / Bakırköy</t>
  </si>
  <si>
    <t>Yüksek+</t>
  </si>
  <si>
    <t>ankara-kahramankazan</t>
  </si>
  <si>
    <t>Ankara</t>
  </si>
  <si>
    <t>Kahramankazan</t>
  </si>
  <si>
    <t>Ankara / Kahramankazan</t>
  </si>
  <si>
    <t>TR5 Batı Anadolu</t>
  </si>
  <si>
    <t>istanbul-silivri</t>
  </si>
  <si>
    <t>Silivri</t>
  </si>
  <si>
    <t>İstanbul / Silivri</t>
  </si>
  <si>
    <t>istanbul-kadikoy</t>
  </si>
  <si>
    <t>Kadıköy</t>
  </si>
  <si>
    <t>İstanbul / Kadıköy</t>
  </si>
  <si>
    <t>ankara-cankaya</t>
  </si>
  <si>
    <t>Çankaya</t>
  </si>
  <si>
    <t>Ankara / Çankaya</t>
  </si>
  <si>
    <t>istanbul-adalar</t>
  </si>
  <si>
    <t>Adalar</t>
  </si>
  <si>
    <t>İstanbul / Adalar</t>
  </si>
  <si>
    <t>bursa-nilufer</t>
  </si>
  <si>
    <t>Bursa</t>
  </si>
  <si>
    <t>Nilüfer</t>
  </si>
  <si>
    <t>Bursa / Nilüfer</t>
  </si>
  <si>
    <t>Satılık stok: 17511; kiralık stok: 13997</t>
  </si>
  <si>
    <t>istanbul-eyupsultan</t>
  </si>
  <si>
    <t>Eyüpsultan</t>
  </si>
  <si>
    <t>İstanbul / Eyüpsultan</t>
  </si>
  <si>
    <t>istanbul-uskudar</t>
  </si>
  <si>
    <t>Üsküdar</t>
  </si>
  <si>
    <t>İstanbul / Üsküdar</t>
  </si>
  <si>
    <t>istanbul-maltepe</t>
  </si>
  <si>
    <t>Maltepe</t>
  </si>
  <si>
    <t>İstanbul / Maltepe</t>
  </si>
  <si>
    <t>istanbul-kartal</t>
  </si>
  <si>
    <t>Kartal</t>
  </si>
  <si>
    <t>İstanbul / Kartal</t>
  </si>
  <si>
    <t>ankara-altindag</t>
  </si>
  <si>
    <t>Altındağ</t>
  </si>
  <si>
    <t>Ankara / Altındağ</t>
  </si>
  <si>
    <t>kayseri-kocasinan</t>
  </si>
  <si>
    <t>Kayseri</t>
  </si>
  <si>
    <t>Kocasinan</t>
  </si>
  <si>
    <t>Kayseri / Kocasinan</t>
  </si>
  <si>
    <t>Satılık stok: 9326; kiralık stok: 4828</t>
  </si>
  <si>
    <t>istanbul-sariyer</t>
  </si>
  <si>
    <t>Sarıyer</t>
  </si>
  <si>
    <t>İstanbul / Sarıyer</t>
  </si>
  <si>
    <t>ankara-golbasi</t>
  </si>
  <si>
    <t>Gölbaşı</t>
  </si>
  <si>
    <t>Ankara / Gölbaşı</t>
  </si>
  <si>
    <t>istanbul-avcilar</t>
  </si>
  <si>
    <t>Avcılar</t>
  </si>
  <si>
    <t>İstanbul / Avcılar</t>
  </si>
  <si>
    <t>ankara-yenimahalle</t>
  </si>
  <si>
    <t>Yenimahalle</t>
  </si>
  <si>
    <t>Ankara / Yenimahalle</t>
  </si>
  <si>
    <t>istanbul-bayrampasa</t>
  </si>
  <si>
    <t>Bayrampaşa</t>
  </si>
  <si>
    <t>İstanbul / Bayrampaşa</t>
  </si>
  <si>
    <t>konya-karatay</t>
  </si>
  <si>
    <t>Konya</t>
  </si>
  <si>
    <t>Karatay</t>
  </si>
  <si>
    <t>Konya / Karatay</t>
  </si>
  <si>
    <t>Satılık stok: 11282; kiralık stok: 6855</t>
  </si>
  <si>
    <t>kayseri-melikgazi</t>
  </si>
  <si>
    <t>Melikgazi</t>
  </si>
  <si>
    <t>Kayseri / Melikgazi</t>
  </si>
  <si>
    <t>istanbul-zeytinburnu</t>
  </si>
  <si>
    <t>Zeytinburnu</t>
  </si>
  <si>
    <t>İstanbul / Zeytinburnu</t>
  </si>
  <si>
    <t>istanbul-pendik</t>
  </si>
  <si>
    <t>Pendik</t>
  </si>
  <si>
    <t>İstanbul / Pendik</t>
  </si>
  <si>
    <t>mugla-mentese</t>
  </si>
  <si>
    <t>Menteşe</t>
  </si>
  <si>
    <t>Muğla / Menteşe</t>
  </si>
  <si>
    <t>Karma: satılık ilçe, kiralık il düzeyi</t>
  </si>
  <si>
    <t>antalya-kepez</t>
  </si>
  <si>
    <t>Kepez</t>
  </si>
  <si>
    <t>Antalya / Kepez</t>
  </si>
  <si>
    <t>istanbul-atasehir</t>
  </si>
  <si>
    <t>Ataşehir</t>
  </si>
  <si>
    <t>İstanbul / Ataşehir</t>
  </si>
  <si>
    <t>istanbul-beykoz</t>
  </si>
  <si>
    <t>Beykoz</t>
  </si>
  <si>
    <t>İstanbul / Beykoz</t>
  </si>
  <si>
    <t>istanbul-gungoren</t>
  </si>
  <si>
    <t>Güngören</t>
  </si>
  <si>
    <t>İstanbul / Güngören</t>
  </si>
  <si>
    <t>eskisehir-odunpazari</t>
  </si>
  <si>
    <t>Eskişehir</t>
  </si>
  <si>
    <t>Odunpazarı</t>
  </si>
  <si>
    <t>Eskişehir / Odunpazarı</t>
  </si>
  <si>
    <t>Satılık stok: 9956; kiralık stok: 7342</t>
  </si>
  <si>
    <t>izmir-gaziemir</t>
  </si>
  <si>
    <t>Gaziemir</t>
  </si>
  <si>
    <t>İzmir / Gaziemir</t>
  </si>
  <si>
    <t>izmir-buca</t>
  </si>
  <si>
    <t>Buca</t>
  </si>
  <si>
    <t>İzmir / Buca</t>
  </si>
  <si>
    <t>balikesir-altieylul</t>
  </si>
  <si>
    <t>Balıkesir</t>
  </si>
  <si>
    <t>Altıeylül</t>
  </si>
  <si>
    <t>Balıkesir / Altıeylül</t>
  </si>
  <si>
    <t>Satılık stok: 20728; kiralık stok: 8804</t>
  </si>
  <si>
    <t>konya-selcuklu</t>
  </si>
  <si>
    <t>Selçuklu</t>
  </si>
  <si>
    <t>Konya / Selçuklu</t>
  </si>
  <si>
    <t>eskisehir-tepebasi</t>
  </si>
  <si>
    <t>Tepebaşı</t>
  </si>
  <si>
    <t>Eskişehir / Tepebaşı</t>
  </si>
  <si>
    <t>istanbul-kagithane</t>
  </si>
  <si>
    <t>Kağıthane</t>
  </si>
  <si>
    <t>İstanbul / Kağıthane</t>
  </si>
  <si>
    <t>aydin-efeler</t>
  </si>
  <si>
    <t>Efeler</t>
  </si>
  <si>
    <t>Aydın / Efeler</t>
  </si>
  <si>
    <t>istanbul-kucukcekmece</t>
  </si>
  <si>
    <t>Küçükçekmece</t>
  </si>
  <si>
    <t>İstanbul / Küçükçekmece</t>
  </si>
  <si>
    <t>sakarya-serdivan</t>
  </si>
  <si>
    <t>Sakarya</t>
  </si>
  <si>
    <t>Serdivan</t>
  </si>
  <si>
    <t>Sakarya / Serdivan</t>
  </si>
  <si>
    <t>Satılık stok: 10987; kiralık stok: 5896</t>
  </si>
  <si>
    <t>kutahya-merkez</t>
  </si>
  <si>
    <t>Kütahya</t>
  </si>
  <si>
    <t>Kütahya / Merkez</t>
  </si>
  <si>
    <t>Satılık stok: 2002; kiralık stok: 2159</t>
  </si>
  <si>
    <t>ankara-etimesgut</t>
  </si>
  <si>
    <t>Etimesgut</t>
  </si>
  <si>
    <t>Ankara / Etimesgut</t>
  </si>
  <si>
    <t>bolu-merkez</t>
  </si>
  <si>
    <t>Bolu</t>
  </si>
  <si>
    <t>Bolu / Merkez</t>
  </si>
  <si>
    <t>Satılık stok: 1559; kiralık stok: 1378</t>
  </si>
  <si>
    <t>denizli-merkezefendi</t>
  </si>
  <si>
    <t>Denizli</t>
  </si>
  <si>
    <t>Merkezefendi</t>
  </si>
  <si>
    <t>Denizli / Merkezefendi</t>
  </si>
  <si>
    <t>Satılık stok: 8322; kiralık stok: 5187</t>
  </si>
  <si>
    <t>istanbul-umraniye</t>
  </si>
  <si>
    <t>Ümraniye</t>
  </si>
  <si>
    <t>İstanbul / Ümraniye</t>
  </si>
  <si>
    <t>istanbul-bahcelievler</t>
  </si>
  <si>
    <t>Bahçelievler</t>
  </si>
  <si>
    <t>İstanbul / Bahçelievler</t>
  </si>
  <si>
    <t>manisa-yunusemre</t>
  </si>
  <si>
    <t>Manisa</t>
  </si>
  <si>
    <t>Yunusemre</t>
  </si>
  <si>
    <t>Manisa / Yunusemre</t>
  </si>
  <si>
    <t>Satılık stok: 8133; kiralık stok: 5528</t>
  </si>
  <si>
    <t>isparta-merkez</t>
  </si>
  <si>
    <t>Isparta</t>
  </si>
  <si>
    <t>Isparta / Merkez</t>
  </si>
  <si>
    <t>Satılık stok: 1692; kiralık stok: 1800</t>
  </si>
  <si>
    <t>sakarya-adapazari</t>
  </si>
  <si>
    <t>Adapazarı</t>
  </si>
  <si>
    <t>Sakarya / Adapazarı</t>
  </si>
  <si>
    <t>adana-cukurova</t>
  </si>
  <si>
    <t>Adana</t>
  </si>
  <si>
    <t>Çukurova</t>
  </si>
  <si>
    <t>Adana / Çukurova</t>
  </si>
  <si>
    <t>Satılık stok: 16884; kiralık stok: 11615</t>
  </si>
  <si>
    <t>gaziantep-sehitkamil</t>
  </si>
  <si>
    <t>Gaziantep</t>
  </si>
  <si>
    <t>Şehitkamil</t>
  </si>
  <si>
    <t>Gaziantep / Şehitkamil</t>
  </si>
  <si>
    <t>TRC Güneydoğu Anadolu</t>
  </si>
  <si>
    <t>Satılık stok: 13540; kiralık stok: 5244</t>
  </si>
  <si>
    <t>istanbul-basaksehir</t>
  </si>
  <si>
    <t>Başakşehir</t>
  </si>
  <si>
    <t>İstanbul / Başakşehir</t>
  </si>
  <si>
    <t>bursa-osmangazi</t>
  </si>
  <si>
    <t>Osmangazi</t>
  </si>
  <si>
    <t>Bursa / Osmangazi</t>
  </si>
  <si>
    <t>denizli-pamukkale</t>
  </si>
  <si>
    <t>Pamukkale</t>
  </si>
  <si>
    <t>Denizli / Pamukkale</t>
  </si>
  <si>
    <t>istanbul-cekmekoy</t>
  </si>
  <si>
    <t>Çekmeköy</t>
  </si>
  <si>
    <t>İstanbul / Çekmeköy</t>
  </si>
  <si>
    <t>istanbul-esenler</t>
  </si>
  <si>
    <t>Esenler</t>
  </si>
  <si>
    <t>İstanbul / Esenler</t>
  </si>
  <si>
    <t>istanbul-gaziosmanpasa</t>
  </si>
  <si>
    <t>Gaziosmanpaşa</t>
  </si>
  <si>
    <t>İstanbul / Gaziosmanpaşa</t>
  </si>
  <si>
    <t>ankara-kecioren</t>
  </si>
  <si>
    <t>Keçiören</t>
  </si>
  <si>
    <t>Ankara / Keçiören</t>
  </si>
  <si>
    <t>istanbul-sancaktepe</t>
  </si>
  <si>
    <t>Sancaktepe</t>
  </si>
  <si>
    <t>İstanbul / Sancaktepe</t>
  </si>
  <si>
    <t>adana-seyhan</t>
  </si>
  <si>
    <t>Seyhan</t>
  </si>
  <si>
    <t>Adana / Seyhan</t>
  </si>
  <si>
    <t>istanbul-bagcilar</t>
  </si>
  <si>
    <t>Bağcılar</t>
  </si>
  <si>
    <t>İstanbul / Bağcılar</t>
  </si>
  <si>
    <t>istanbul-esenyurt</t>
  </si>
  <si>
    <t>Esenyurt</t>
  </si>
  <si>
    <t>İstanbul / Esenyurt</t>
  </si>
  <si>
    <t>metric_key</t>
  </si>
  <si>
    <t>ui_label</t>
  </si>
  <si>
    <t>weight_prompt</t>
  </si>
  <si>
    <t>score_column</t>
  </si>
  <si>
    <t>score_range</t>
  </si>
  <si>
    <t>high_score_means</t>
  </si>
  <si>
    <t>frontend_helper_text</t>
  </si>
  <si>
    <t>default_weight</t>
  </si>
  <si>
    <t>socialCulture</t>
  </si>
  <si>
    <t>Sosyal ve kültürel imkanlar</t>
  </si>
  <si>
    <t>Sosyal imkanlar ve kültürel düzey senin için ne kadar önemli?</t>
  </si>
  <si>
    <t>0-20</t>
  </si>
  <si>
    <t>Daha gelişmiş sosyal/kültürel yapı</t>
  </si>
  <si>
    <t>SEGE temelli sosyal/kültürel skor. 20 iyi, 0 zayıf.</t>
  </si>
  <si>
    <t>seaAccess</t>
  </si>
  <si>
    <t>Denize yakınlık</t>
  </si>
  <si>
    <t>Denize yakınlık senin için ne kadar önemli?</t>
  </si>
  <si>
    <t>Denize/kıyıya daha yakın olma</t>
  </si>
  <si>
    <t>Kıyı/ada ilçeler yüksek; iç ilçeler daha düşük puanlı.</t>
  </si>
  <si>
    <t>earthquakeSafety</t>
  </si>
  <si>
    <t>Deprem güvenliği</t>
  </si>
  <si>
    <t>Deprem riskinin düşük olması senin için ne kadar önemli?</t>
  </si>
  <si>
    <t>Daha düşük deprem tehlikesi</t>
  </si>
  <si>
    <t>Deprem risk bandı ters puanlandı. 20 daha güvenli.</t>
  </si>
  <si>
    <t>lowCrowding</t>
  </si>
  <si>
    <t>Kalabalık olmaması</t>
  </si>
  <si>
    <t>Daha sakin ve az kalabalık bir ilçe senin için ne kadar önemli?</t>
  </si>
  <si>
    <t>Daha düşük nüfus baskısı</t>
  </si>
  <si>
    <t>Nüfus baskısı ters puanlandı. 20 daha sakin/az kalabalık.</t>
  </si>
  <si>
    <t>lowJudicialIntensity</t>
  </si>
  <si>
    <t>Adli olay yoğunluğunun düşük olması</t>
  </si>
  <si>
    <t>Adli olay yoğunluğunun düşük olması senin için ne kadar önemli?</t>
  </si>
  <si>
    <t>Bölgesel adli olay yoğunluğunun daha düşük olması</t>
  </si>
  <si>
    <t>Adalet Bakanlığı İBBS-1 bölge verisi proxy’si. İlçe bazlı kesin suç oranı değildir.</t>
  </si>
  <si>
    <t>affordability</t>
  </si>
  <si>
    <t>Pahalılığın düşük olması</t>
  </si>
  <si>
    <t>Kira/satılık konut pahalılığının düşük olması senin için ne kadar önemli?</t>
  </si>
  <si>
    <t>Daha ucuz/erişilebilir konut piyasası</t>
  </si>
  <si>
    <t>Endeksa konut göstergeleri ters puanlandı. En pahalı yerler düşük puan aldı.</t>
  </si>
  <si>
    <t>Amaç</t>
  </si>
  <si>
    <t>Bu dosya Cursor/React entegrasyonu için sadeleştirilmiş uygulama veri setidir.</t>
  </si>
  <si>
    <t>Ana veri sayfası</t>
  </si>
  <si>
    <t>districts_app</t>
  </si>
  <si>
    <t>Metrik ayarları</t>
  </si>
  <si>
    <t>metric_config</t>
  </si>
  <si>
    <t>Skor mantığı</t>
  </si>
  <si>
    <t>Kullanıcı her metrik için 1-5 önem puanı verir. İlçe skorları zaten 0-20 aralığında ve yüksek değer iyi anlama gelir.</t>
  </si>
  <si>
    <t>Formül</t>
  </si>
  <si>
    <t>weighted_score_100 = ((Σ metric_score_20 × user_weight) / Σ user_weight) × 5</t>
  </si>
  <si>
    <t>Sonuç</t>
  </si>
  <si>
    <t>Tüm ilçeler weighted_score_100 değerine göre büyükten küçüğe sıralanır ve ilk 5 ideal ilçe gösterilir.</t>
  </si>
  <si>
    <t>Kritik not</t>
  </si>
  <si>
    <t>judicial_low_event_score_20 ilçe suçu değildir; Adalet Bakanlığı İBBS-1 resmi bölge verisinden üretilmiş proxy puandır.</t>
  </si>
  <si>
    <t>affordability_score_20 yüksekse daha ucuz/erişilebilir, düşükse daha pahalıdır.</t>
  </si>
  <si>
    <t>Tasarım notu</t>
  </si>
  <si>
    <t>Uygulamada metrik kartları, premium hissi, yumuşak animasyonlar, mobil uyum ve sonuç kartlarında açıklanabilir skor kırılımı hedeflenir.</t>
  </si>
  <si>
    <t>weight_1_to_5</t>
  </si>
  <si>
    <t>weighted_score_100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</si>
</sst>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0F766E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trictsAppTable" displayName="DistrictsAppTable" ref="A1:AB101">
  <tableColumns count="28">
    <tableColumn id="1" xr3:uid="{00000000-0010-0000-0000-000001000000}" name="district_id"/>
    <tableColumn id="2" xr3:uid="{00000000-0010-0000-0000-000002000000}" name="il"/>
    <tableColumn id="3" xr3:uid="{00000000-0010-0000-0000-000003000000}" name="ilce"/>
    <tableColumn id="4" xr3:uid="{00000000-0010-0000-0000-000004000000}" name="full_name"/>
    <tableColumn id="5" xr3:uid="{00000000-0010-0000-0000-000005000000}" name="default_overall_score_100"/>
    <tableColumn id="6" xr3:uid="{00000000-0010-0000-0000-000006000000}" name="model_rank"/>
    <tableColumn id="7" xr3:uid="{00000000-0010-0000-0000-000007000000}" name="sege_rank"/>
    <tableColumn id="8" xr3:uid="{00000000-0010-0000-0000-000008000000}" name="sege_score"/>
    <tableColumn id="9" xr3:uid="{00000000-0010-0000-0000-000009000000}" name="sege_tier"/>
    <tableColumn id="10" xr3:uid="{00000000-0010-0000-0000-00000A000000}" name="population_2024"/>
    <tableColumn id="11" xr3:uid="{00000000-0010-0000-0000-00000B000000}" name="social_culture_score_20"/>
    <tableColumn id="12" xr3:uid="{00000000-0010-0000-0000-00000C000000}" name="sea_access_score_20"/>
    <tableColumn id="13" xr3:uid="{00000000-0010-0000-0000-00000D000000}" name="sea_category"/>
    <tableColumn id="14" xr3:uid="{00000000-0010-0000-0000-00000E000000}" name="earthquake_safety_score_20"/>
    <tableColumn id="15" xr3:uid="{00000000-0010-0000-0000-00000F000000}" name="earthquake_risk_band"/>
    <tableColumn id="16" xr3:uid="{00000000-0010-0000-0000-000010000000}" name="low_crowding_score_20"/>
    <tableColumn id="17" xr3:uid="{00000000-0010-0000-0000-000011000000}" name="judicial_low_event_score_20"/>
    <tableColumn id="18" xr3:uid="{00000000-0010-0000-0000-000012000000}" name="judicial_region"/>
    <tableColumn id="19" xr3:uid="{00000000-0010-0000-0000-000013000000}" name="affordability_score_20"/>
    <tableColumn id="20" xr3:uid="{00000000-0010-0000-0000-000014000000}" name="endeksa_data_level"/>
    <tableColumn id="21" xr3:uid="{00000000-0010-0000-0000-000015000000}" name="sale_price_m2_try"/>
    <tableColumn id="22" xr3:uid="{00000000-0010-0000-0000-000016000000}" name="rent_price_m2_try"/>
    <tableColumn id="23" xr3:uid="{00000000-0010-0000-0000-000017000000}" name="avg_rent_try"/>
    <tableColumn id="24" xr3:uid="{00000000-0010-0000-0000-000018000000}" name="avg_home_price_try"/>
    <tableColumn id="25" xr3:uid="{00000000-0010-0000-0000-000019000000}" name="rent_increase_1y_pct"/>
    <tableColumn id="26" xr3:uid="{00000000-0010-0000-0000-00001A000000}" name="amortization_years"/>
    <tableColumn id="27" xr3:uid="{00000000-0010-0000-0000-00001B000000}" name="listing_stock_note"/>
    <tableColumn id="28" xr3:uid="{00000000-0010-0000-0000-00001C000000}" name="data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ricConfigTable" displayName="MetricConfigTable" ref="A1:H7">
  <tableColumns count="8">
    <tableColumn id="1" xr3:uid="{00000000-0010-0000-0100-000001000000}" name="metric_key"/>
    <tableColumn id="2" xr3:uid="{00000000-0010-0000-0100-000002000000}" name="ui_label"/>
    <tableColumn id="3" xr3:uid="{00000000-0010-0000-0100-000003000000}" name="weight_prompt"/>
    <tableColumn id="4" xr3:uid="{00000000-0010-0000-0100-000004000000}" name="score_column"/>
    <tableColumn id="5" xr3:uid="{00000000-0010-0000-0100-000005000000}" name="score_range"/>
    <tableColumn id="6" xr3:uid="{00000000-0010-0000-0100-000006000000}" name="high_score_means"/>
    <tableColumn id="7" xr3:uid="{00000000-0010-0000-0100-000007000000}" name="frontend_helper_text"/>
    <tableColumn id="8" xr3:uid="{00000000-0010-0000-0100-000008000000}" name="default_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ightsTable" displayName="WeightsTable" ref="A1:D7">
  <tableColumns count="4">
    <tableColumn id="1" xr3:uid="{00000000-0010-0000-0200-000001000000}" name="metric_key"/>
    <tableColumn id="2" xr3:uid="{00000000-0010-0000-0200-000002000000}" name="ui_label"/>
    <tableColumn id="3" xr3:uid="{00000000-0010-0000-0200-000003000000}" name="weight_1_to_5"/>
    <tableColumn id="4" xr3:uid="{00000000-0010-0000-0200-000004000000}" name="score_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orePlaygroundTable" displayName="ScorePlaygroundTable" ref="F1:H101">
  <tableColumns count="3">
    <tableColumn id="1" xr3:uid="{00000000-0010-0000-0300-000001000000}" name="district_id"/>
    <tableColumn id="2" xr3:uid="{00000000-0010-0000-0300-000002000000}" name="full_name"/>
    <tableColumn id="3" xr3:uid="{00000000-0010-0000-0300-000003000000}" name="weighted_score_1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workbookViewId="0"/>
  </sheetViews>
  <sheetFormatPr defaultRowHeight="13.8"/>
  <cols>
    <col min="1" max="1" width="22" customWidth="1"/>
    <col min="2" max="3" width="16" customWidth="1"/>
    <col min="4" max="4" width="26" customWidth="1"/>
    <col min="5" max="5" width="16" customWidth="1"/>
    <col min="6" max="9" width="11" customWidth="1"/>
    <col min="10" max="10" width="13" customWidth="1"/>
    <col min="11" max="19" width="16" customWidth="1"/>
    <col min="20" max="20" width="24" customWidth="1"/>
    <col min="21" max="24" width="16" customWidth="1"/>
    <col min="25" max="26" width="15" customWidth="1"/>
    <col min="27" max="27" width="34" customWidth="1"/>
    <col min="28" max="28" width="45" customWidth="1"/>
  </cols>
  <sheetData>
    <row r="1" spans="1:28" ht="27.6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7" t="s">
        <v>24</v>
      </c>
      <c r="Z1" s="5" t="s">
        <v>25</v>
      </c>
      <c r="AA1" s="1" t="s">
        <v>26</v>
      </c>
      <c r="AB1" s="1" t="s">
        <v>27</v>
      </c>
    </row>
    <row r="2" spans="1:28" ht="41.4">
      <c r="A2" s="2" t="s">
        <v>28</v>
      </c>
      <c r="B2" s="2" t="s">
        <v>29</v>
      </c>
      <c r="C2" s="2" t="s">
        <v>30</v>
      </c>
      <c r="D2" s="2" t="s">
        <v>31</v>
      </c>
      <c r="E2" s="2">
        <v>74.900000000000006</v>
      </c>
      <c r="F2" s="2">
        <v>1</v>
      </c>
      <c r="G2" s="2">
        <v>56</v>
      </c>
      <c r="H2" s="2">
        <v>1.81</v>
      </c>
      <c r="I2" s="2">
        <v>1</v>
      </c>
      <c r="J2" s="2">
        <v>330836</v>
      </c>
      <c r="K2" s="2">
        <v>2.96</v>
      </c>
      <c r="L2" s="2">
        <v>20</v>
      </c>
      <c r="M2" s="2" t="s">
        <v>32</v>
      </c>
      <c r="N2" s="2">
        <v>16</v>
      </c>
      <c r="O2" s="2" t="s">
        <v>33</v>
      </c>
      <c r="P2" s="2">
        <v>13.68</v>
      </c>
      <c r="Q2" s="2">
        <v>19.62</v>
      </c>
      <c r="R2" s="2" t="s">
        <v>34</v>
      </c>
      <c r="S2" s="2">
        <v>17.63</v>
      </c>
      <c r="T2" s="2" t="s">
        <v>35</v>
      </c>
      <c r="U2" s="2">
        <v>33057</v>
      </c>
      <c r="V2" s="2">
        <v>159</v>
      </c>
      <c r="W2" s="2">
        <v>20806</v>
      </c>
      <c r="X2" s="2">
        <v>4793265</v>
      </c>
      <c r="Y2" s="2">
        <v>29.65</v>
      </c>
      <c r="Z2" s="2">
        <v>17</v>
      </c>
      <c r="AA2" s="2" t="s">
        <v>36</v>
      </c>
      <c r="AB2" s="2" t="s">
        <v>37</v>
      </c>
    </row>
    <row r="3" spans="1:28" ht="41.4">
      <c r="A3" s="2" t="s">
        <v>38</v>
      </c>
      <c r="B3" s="2" t="s">
        <v>39</v>
      </c>
      <c r="C3" s="2" t="s">
        <v>40</v>
      </c>
      <c r="D3" s="2" t="s">
        <v>41</v>
      </c>
      <c r="E3" s="2">
        <v>74.3</v>
      </c>
      <c r="F3" s="2">
        <v>2</v>
      </c>
      <c r="G3" s="2">
        <v>60</v>
      </c>
      <c r="H3" s="2">
        <v>1.73</v>
      </c>
      <c r="I3" s="2">
        <v>1</v>
      </c>
      <c r="J3" s="2">
        <v>253437</v>
      </c>
      <c r="K3" s="2">
        <v>2.71</v>
      </c>
      <c r="L3" s="2">
        <v>20</v>
      </c>
      <c r="M3" s="2" t="s">
        <v>32</v>
      </c>
      <c r="N3" s="2">
        <v>15</v>
      </c>
      <c r="O3" s="2" t="s">
        <v>42</v>
      </c>
      <c r="P3" s="2">
        <v>15.18</v>
      </c>
      <c r="Q3" s="2">
        <v>18.41</v>
      </c>
      <c r="R3" s="2" t="s">
        <v>43</v>
      </c>
      <c r="S3" s="2">
        <v>17.88</v>
      </c>
      <c r="T3" s="2" t="s">
        <v>35</v>
      </c>
      <c r="U3" s="2">
        <v>34955</v>
      </c>
      <c r="V3" s="2">
        <v>201</v>
      </c>
      <c r="W3" s="2">
        <v>20071</v>
      </c>
      <c r="X3" s="2">
        <v>4019825</v>
      </c>
      <c r="Y3" s="2">
        <v>27.64</v>
      </c>
      <c r="Z3" s="2">
        <v>15</v>
      </c>
      <c r="AA3" s="2" t="s">
        <v>44</v>
      </c>
      <c r="AB3" s="2" t="s">
        <v>37</v>
      </c>
    </row>
    <row r="4" spans="1:28" ht="41.4">
      <c r="A4" s="2" t="s">
        <v>45</v>
      </c>
      <c r="B4" s="2" t="s">
        <v>39</v>
      </c>
      <c r="C4" s="2" t="s">
        <v>46</v>
      </c>
      <c r="D4" s="2" t="s">
        <v>47</v>
      </c>
      <c r="E4" s="2">
        <v>72.099999999999994</v>
      </c>
      <c r="F4" s="2">
        <v>3</v>
      </c>
      <c r="G4" s="2">
        <v>91</v>
      </c>
      <c r="H4" s="2">
        <v>1.34</v>
      </c>
      <c r="I4" s="2">
        <v>2</v>
      </c>
      <c r="J4" s="2">
        <v>325775</v>
      </c>
      <c r="K4" s="2">
        <v>1.42</v>
      </c>
      <c r="L4" s="2">
        <v>20</v>
      </c>
      <c r="M4" s="2" t="s">
        <v>32</v>
      </c>
      <c r="N4" s="2">
        <v>15</v>
      </c>
      <c r="O4" s="2" t="s">
        <v>42</v>
      </c>
      <c r="P4" s="2">
        <v>13.78</v>
      </c>
      <c r="Q4" s="2">
        <v>18.41</v>
      </c>
      <c r="R4" s="2" t="s">
        <v>43</v>
      </c>
      <c r="S4" s="2">
        <v>17.88</v>
      </c>
      <c r="T4" s="2" t="s">
        <v>35</v>
      </c>
      <c r="U4" s="2">
        <v>34955</v>
      </c>
      <c r="V4" s="2">
        <v>201</v>
      </c>
      <c r="W4" s="2">
        <v>20071</v>
      </c>
      <c r="X4" s="2">
        <v>4019825</v>
      </c>
      <c r="Y4" s="2">
        <v>27.64</v>
      </c>
      <c r="Z4" s="2">
        <v>15</v>
      </c>
      <c r="AA4" s="2" t="s">
        <v>44</v>
      </c>
      <c r="AB4" s="2" t="s">
        <v>37</v>
      </c>
    </row>
    <row r="5" spans="1:28" ht="41.4">
      <c r="A5" s="2" t="s">
        <v>48</v>
      </c>
      <c r="B5" s="2" t="s">
        <v>49</v>
      </c>
      <c r="C5" s="2" t="s">
        <v>50</v>
      </c>
      <c r="D5" s="2" t="s">
        <v>51</v>
      </c>
      <c r="E5" s="2">
        <v>64.900000000000006</v>
      </c>
      <c r="F5" s="2">
        <v>4</v>
      </c>
      <c r="G5" s="2">
        <v>63</v>
      </c>
      <c r="H5" s="2">
        <v>1.68</v>
      </c>
      <c r="I5" s="2">
        <v>1</v>
      </c>
      <c r="J5" s="2">
        <v>3363</v>
      </c>
      <c r="K5" s="2">
        <v>2.5299999999999998</v>
      </c>
      <c r="L5" s="2">
        <v>20</v>
      </c>
      <c r="M5" s="2" t="s">
        <v>32</v>
      </c>
      <c r="N5" s="2">
        <v>8</v>
      </c>
      <c r="O5" s="2" t="s">
        <v>52</v>
      </c>
      <c r="P5" s="2">
        <v>20</v>
      </c>
      <c r="Q5" s="2">
        <v>10.52</v>
      </c>
      <c r="R5" s="2" t="s">
        <v>53</v>
      </c>
      <c r="S5" s="2">
        <v>16.77</v>
      </c>
      <c r="T5" s="2" t="s">
        <v>35</v>
      </c>
      <c r="U5" s="2">
        <v>51497</v>
      </c>
      <c r="V5" s="2">
        <v>284</v>
      </c>
      <c r="W5" s="2">
        <v>25597</v>
      </c>
      <c r="X5" s="2">
        <v>6076646</v>
      </c>
      <c r="Y5" s="2">
        <v>18.03</v>
      </c>
      <c r="Z5" s="2">
        <v>15</v>
      </c>
      <c r="AA5" s="2" t="s">
        <v>54</v>
      </c>
      <c r="AB5" s="2" t="s">
        <v>37</v>
      </c>
    </row>
    <row r="6" spans="1:28" ht="41.4">
      <c r="A6" s="2" t="s">
        <v>55</v>
      </c>
      <c r="B6" s="2" t="s">
        <v>56</v>
      </c>
      <c r="C6" s="2" t="s">
        <v>57</v>
      </c>
      <c r="D6" s="2" t="s">
        <v>58</v>
      </c>
      <c r="E6" s="2">
        <v>63.7</v>
      </c>
      <c r="F6" s="2">
        <v>5</v>
      </c>
      <c r="G6" s="2">
        <v>93</v>
      </c>
      <c r="H6" s="2">
        <v>1.31</v>
      </c>
      <c r="I6" s="2">
        <v>2</v>
      </c>
      <c r="J6" s="2">
        <v>223068</v>
      </c>
      <c r="K6" s="2">
        <v>1.32</v>
      </c>
      <c r="L6" s="2">
        <v>20</v>
      </c>
      <c r="M6" s="2" t="s">
        <v>32</v>
      </c>
      <c r="N6" s="2">
        <v>10</v>
      </c>
      <c r="O6" s="2" t="s">
        <v>59</v>
      </c>
      <c r="P6" s="2">
        <v>15.76</v>
      </c>
      <c r="Q6" s="2">
        <v>10.52</v>
      </c>
      <c r="R6" s="2" t="s">
        <v>53</v>
      </c>
      <c r="S6" s="2">
        <v>18.75</v>
      </c>
      <c r="T6" s="2" t="s">
        <v>35</v>
      </c>
      <c r="U6" s="2">
        <v>30990</v>
      </c>
      <c r="V6" s="2">
        <v>208</v>
      </c>
      <c r="W6" s="2">
        <v>20800</v>
      </c>
      <c r="X6" s="2">
        <v>3687810</v>
      </c>
      <c r="Y6" s="2">
        <v>18.55</v>
      </c>
      <c r="Z6" s="2">
        <v>12</v>
      </c>
      <c r="AA6" s="2" t="s">
        <v>60</v>
      </c>
      <c r="AB6" s="2" t="s">
        <v>37</v>
      </c>
    </row>
    <row r="7" spans="1:28" ht="41.4">
      <c r="A7" s="2" t="s">
        <v>61</v>
      </c>
      <c r="B7" s="2" t="s">
        <v>49</v>
      </c>
      <c r="C7" s="2" t="s">
        <v>62</v>
      </c>
      <c r="D7" s="2" t="s">
        <v>63</v>
      </c>
      <c r="E7" s="2">
        <v>62.1</v>
      </c>
      <c r="F7" s="2">
        <v>6</v>
      </c>
      <c r="G7" s="2">
        <v>53</v>
      </c>
      <c r="H7" s="2">
        <v>1.85</v>
      </c>
      <c r="I7" s="2">
        <v>1</v>
      </c>
      <c r="J7" s="2">
        <v>204454</v>
      </c>
      <c r="K7" s="2">
        <v>3.08</v>
      </c>
      <c r="L7" s="2">
        <v>20</v>
      </c>
      <c r="M7" s="2" t="s">
        <v>32</v>
      </c>
      <c r="N7" s="2">
        <v>8</v>
      </c>
      <c r="O7" s="2" t="s">
        <v>52</v>
      </c>
      <c r="P7" s="2">
        <v>16.12</v>
      </c>
      <c r="Q7" s="2">
        <v>10.52</v>
      </c>
      <c r="R7" s="2" t="s">
        <v>53</v>
      </c>
      <c r="S7" s="2">
        <v>16.77</v>
      </c>
      <c r="T7" s="2" t="s">
        <v>35</v>
      </c>
      <c r="U7" s="2">
        <v>51497</v>
      </c>
      <c r="V7" s="2">
        <v>284</v>
      </c>
      <c r="W7" s="2">
        <v>25597</v>
      </c>
      <c r="X7" s="2">
        <v>6076646</v>
      </c>
      <c r="Y7" s="2">
        <v>18.03</v>
      </c>
      <c r="Z7" s="2">
        <v>15</v>
      </c>
      <c r="AA7" s="2" t="s">
        <v>54</v>
      </c>
      <c r="AB7" s="2" t="s">
        <v>37</v>
      </c>
    </row>
    <row r="8" spans="1:28" ht="41.4">
      <c r="A8" s="2" t="s">
        <v>64</v>
      </c>
      <c r="B8" s="2" t="s">
        <v>65</v>
      </c>
      <c r="C8" s="2" t="s">
        <v>66</v>
      </c>
      <c r="D8" s="2" t="s">
        <v>67</v>
      </c>
      <c r="E8" s="2">
        <v>60.6</v>
      </c>
      <c r="F8" s="2">
        <v>7</v>
      </c>
      <c r="G8" s="2">
        <v>18</v>
      </c>
      <c r="H8" s="2">
        <v>2.9</v>
      </c>
      <c r="I8" s="2">
        <v>1</v>
      </c>
      <c r="J8" s="2">
        <v>76613</v>
      </c>
      <c r="K8" s="2">
        <v>6.58</v>
      </c>
      <c r="L8" s="2">
        <v>20</v>
      </c>
      <c r="M8" s="2" t="s">
        <v>32</v>
      </c>
      <c r="N8" s="2">
        <v>7</v>
      </c>
      <c r="O8" s="2" t="s">
        <v>52</v>
      </c>
      <c r="P8" s="2">
        <v>18.59</v>
      </c>
      <c r="Q8" s="2">
        <v>4.6500000000000004</v>
      </c>
      <c r="R8" s="2" t="s">
        <v>68</v>
      </c>
      <c r="S8" s="2">
        <v>15.86</v>
      </c>
      <c r="T8" s="2" t="s">
        <v>69</v>
      </c>
      <c r="U8" s="2">
        <v>53445</v>
      </c>
      <c r="V8" s="2">
        <v>315</v>
      </c>
      <c r="W8" s="2">
        <v>34623</v>
      </c>
      <c r="X8" s="2">
        <v>6573735</v>
      </c>
      <c r="Y8" s="2">
        <v>24.4</v>
      </c>
      <c r="Z8" s="2">
        <v>14</v>
      </c>
      <c r="AA8" s="2" t="s">
        <v>70</v>
      </c>
      <c r="AB8" s="2" t="s">
        <v>37</v>
      </c>
    </row>
    <row r="9" spans="1:28" ht="41.4">
      <c r="A9" s="2" t="s">
        <v>71</v>
      </c>
      <c r="B9" s="2" t="s">
        <v>72</v>
      </c>
      <c r="C9" s="2" t="s">
        <v>73</v>
      </c>
      <c r="D9" s="2" t="s">
        <v>74</v>
      </c>
      <c r="E9" s="2">
        <v>59.8</v>
      </c>
      <c r="F9" s="2">
        <v>8</v>
      </c>
      <c r="G9" s="2">
        <v>49</v>
      </c>
      <c r="H9" s="2">
        <v>1.95</v>
      </c>
      <c r="I9" s="2">
        <v>1</v>
      </c>
      <c r="J9" s="2">
        <v>279402</v>
      </c>
      <c r="K9" s="2">
        <v>3.42</v>
      </c>
      <c r="L9" s="2">
        <v>20</v>
      </c>
      <c r="M9" s="2" t="s">
        <v>32</v>
      </c>
      <c r="N9" s="2">
        <v>13</v>
      </c>
      <c r="O9" s="2" t="s">
        <v>75</v>
      </c>
      <c r="P9" s="2">
        <v>14.68</v>
      </c>
      <c r="Q9" s="2">
        <v>2.89</v>
      </c>
      <c r="R9" s="2" t="s">
        <v>76</v>
      </c>
      <c r="S9" s="2">
        <v>17.75</v>
      </c>
      <c r="T9" s="2" t="s">
        <v>35</v>
      </c>
      <c r="U9" s="2">
        <v>34663</v>
      </c>
      <c r="V9" s="2">
        <v>204</v>
      </c>
      <c r="W9" s="2">
        <v>22644</v>
      </c>
      <c r="X9" s="2">
        <v>4540853</v>
      </c>
      <c r="Y9" s="2">
        <v>28.92</v>
      </c>
      <c r="Z9" s="2">
        <v>14</v>
      </c>
      <c r="AA9" s="2" t="s">
        <v>77</v>
      </c>
      <c r="AB9" s="2" t="s">
        <v>37</v>
      </c>
    </row>
    <row r="10" spans="1:28" ht="41.4">
      <c r="A10" s="2" t="s">
        <v>78</v>
      </c>
      <c r="B10" s="2" t="s">
        <v>65</v>
      </c>
      <c r="C10" s="2" t="s">
        <v>79</v>
      </c>
      <c r="D10" s="2" t="s">
        <v>80</v>
      </c>
      <c r="E10" s="2">
        <v>59.2</v>
      </c>
      <c r="F10" s="2">
        <v>9</v>
      </c>
      <c r="G10" s="2">
        <v>11</v>
      </c>
      <c r="H10" s="2">
        <v>3.46</v>
      </c>
      <c r="I10" s="2">
        <v>1</v>
      </c>
      <c r="J10" s="2">
        <v>322393</v>
      </c>
      <c r="K10" s="2">
        <v>8.44</v>
      </c>
      <c r="L10" s="2">
        <v>20</v>
      </c>
      <c r="M10" s="2" t="s">
        <v>32</v>
      </c>
      <c r="N10" s="2">
        <v>7</v>
      </c>
      <c r="O10" s="2" t="s">
        <v>52</v>
      </c>
      <c r="P10" s="2">
        <v>13.85</v>
      </c>
      <c r="Q10" s="2">
        <v>4.6500000000000004</v>
      </c>
      <c r="R10" s="2" t="s">
        <v>68</v>
      </c>
      <c r="S10" s="2">
        <v>17.04</v>
      </c>
      <c r="T10" s="2" t="s">
        <v>69</v>
      </c>
      <c r="U10" s="2">
        <v>42628</v>
      </c>
      <c r="V10" s="2">
        <v>306</v>
      </c>
      <c r="W10" s="2">
        <v>30637</v>
      </c>
      <c r="X10" s="2">
        <v>4944848</v>
      </c>
      <c r="Y10" s="2">
        <v>21.54</v>
      </c>
      <c r="Z10" s="2">
        <v>12</v>
      </c>
      <c r="AA10" s="2" t="s">
        <v>70</v>
      </c>
      <c r="AB10" s="2" t="s">
        <v>37</v>
      </c>
    </row>
    <row r="11" spans="1:28" ht="41.4">
      <c r="A11" s="2" t="s">
        <v>81</v>
      </c>
      <c r="B11" s="2" t="s">
        <v>82</v>
      </c>
      <c r="C11" s="2" t="s">
        <v>83</v>
      </c>
      <c r="D11" s="2" t="s">
        <v>84</v>
      </c>
      <c r="E11" s="2">
        <v>58.6</v>
      </c>
      <c r="F11" s="2">
        <v>10</v>
      </c>
      <c r="G11" s="2">
        <v>70</v>
      </c>
      <c r="H11" s="2">
        <v>1.56</v>
      </c>
      <c r="I11" s="2">
        <v>2</v>
      </c>
      <c r="J11" s="2">
        <v>124998</v>
      </c>
      <c r="K11" s="2">
        <v>2.14</v>
      </c>
      <c r="L11" s="2">
        <v>20</v>
      </c>
      <c r="M11" s="2" t="s">
        <v>32</v>
      </c>
      <c r="N11" s="2">
        <v>5</v>
      </c>
      <c r="O11" s="2" t="s">
        <v>85</v>
      </c>
      <c r="P11" s="2">
        <v>17.649999999999999</v>
      </c>
      <c r="Q11" s="2">
        <v>8.19</v>
      </c>
      <c r="R11" s="2" t="s">
        <v>86</v>
      </c>
      <c r="S11" s="2">
        <v>17.36</v>
      </c>
      <c r="T11" s="2" t="s">
        <v>35</v>
      </c>
      <c r="U11" s="2">
        <v>40219</v>
      </c>
      <c r="V11" s="2">
        <v>228</v>
      </c>
      <c r="W11" s="2">
        <v>25091</v>
      </c>
      <c r="X11" s="2">
        <v>4987156</v>
      </c>
      <c r="Y11" s="2">
        <v>22.69</v>
      </c>
      <c r="Z11" s="2">
        <v>15</v>
      </c>
      <c r="AA11" s="2" t="s">
        <v>87</v>
      </c>
      <c r="AB11" s="2" t="s">
        <v>37</v>
      </c>
    </row>
    <row r="12" spans="1:28" ht="41.4">
      <c r="A12" s="2" t="s">
        <v>88</v>
      </c>
      <c r="B12" s="2" t="s">
        <v>89</v>
      </c>
      <c r="C12" s="2" t="s">
        <v>90</v>
      </c>
      <c r="D12" s="2" t="s">
        <v>91</v>
      </c>
      <c r="E12" s="2">
        <v>58.3</v>
      </c>
      <c r="F12" s="2">
        <v>11</v>
      </c>
      <c r="G12" s="2">
        <v>27</v>
      </c>
      <c r="H12" s="2">
        <v>2.46</v>
      </c>
      <c r="I12" s="2">
        <v>1</v>
      </c>
      <c r="J12" s="2">
        <v>196079</v>
      </c>
      <c r="K12" s="2">
        <v>5.13</v>
      </c>
      <c r="L12" s="2">
        <v>20</v>
      </c>
      <c r="M12" s="2" t="s">
        <v>32</v>
      </c>
      <c r="N12" s="2">
        <v>12</v>
      </c>
      <c r="O12" s="2" t="s">
        <v>75</v>
      </c>
      <c r="P12" s="2">
        <v>16.28</v>
      </c>
      <c r="Q12" s="2">
        <v>2.89</v>
      </c>
      <c r="R12" s="2" t="s">
        <v>76</v>
      </c>
      <c r="S12" s="2">
        <v>13.64</v>
      </c>
      <c r="T12" s="2" t="s">
        <v>69</v>
      </c>
      <c r="U12" s="2">
        <v>76128</v>
      </c>
      <c r="V12" s="2">
        <v>366</v>
      </c>
      <c r="W12" s="2">
        <v>36238</v>
      </c>
      <c r="X12" s="2">
        <v>10125024</v>
      </c>
      <c r="Y12" s="2">
        <v>33.42</v>
      </c>
      <c r="Z12" s="2">
        <v>17</v>
      </c>
      <c r="AA12" s="2" t="s">
        <v>70</v>
      </c>
      <c r="AB12" s="2" t="s">
        <v>37</v>
      </c>
    </row>
    <row r="13" spans="1:28" ht="41.4">
      <c r="A13" s="2" t="s">
        <v>92</v>
      </c>
      <c r="B13" s="2" t="s">
        <v>89</v>
      </c>
      <c r="C13" s="2" t="s">
        <v>93</v>
      </c>
      <c r="D13" s="2" t="s">
        <v>94</v>
      </c>
      <c r="E13" s="2">
        <v>57.5</v>
      </c>
      <c r="F13" s="2">
        <v>12</v>
      </c>
      <c r="G13" s="2">
        <v>80</v>
      </c>
      <c r="H13" s="2">
        <v>1.5</v>
      </c>
      <c r="I13" s="2">
        <v>2</v>
      </c>
      <c r="J13" s="2">
        <v>50436</v>
      </c>
      <c r="K13" s="2">
        <v>1.94</v>
      </c>
      <c r="L13" s="2">
        <v>20</v>
      </c>
      <c r="M13" s="2" t="s">
        <v>32</v>
      </c>
      <c r="N13" s="2">
        <v>12</v>
      </c>
      <c r="O13" s="2" t="s">
        <v>75</v>
      </c>
      <c r="P13" s="2">
        <v>19.09</v>
      </c>
      <c r="Q13" s="2">
        <v>2.89</v>
      </c>
      <c r="R13" s="2" t="s">
        <v>76</v>
      </c>
      <c r="S13" s="2">
        <v>13.09</v>
      </c>
      <c r="T13" s="2" t="s">
        <v>69</v>
      </c>
      <c r="U13" s="2">
        <v>81296</v>
      </c>
      <c r="V13" s="2">
        <v>340</v>
      </c>
      <c r="W13" s="2">
        <v>29555</v>
      </c>
      <c r="X13" s="2">
        <v>12275696</v>
      </c>
      <c r="Y13" s="2">
        <v>38.75</v>
      </c>
      <c r="Z13" s="2">
        <v>20</v>
      </c>
      <c r="AA13" s="2" t="s">
        <v>70</v>
      </c>
      <c r="AB13" s="2" t="s">
        <v>37</v>
      </c>
    </row>
    <row r="14" spans="1:28" ht="41.4">
      <c r="A14" s="2" t="s">
        <v>95</v>
      </c>
      <c r="B14" s="2" t="s">
        <v>96</v>
      </c>
      <c r="C14" s="2" t="s">
        <v>97</v>
      </c>
      <c r="D14" s="2" t="s">
        <v>98</v>
      </c>
      <c r="E14" s="2">
        <v>57.1</v>
      </c>
      <c r="F14" s="2">
        <v>13</v>
      </c>
      <c r="G14" s="2">
        <v>7</v>
      </c>
      <c r="H14" s="2">
        <v>4.2300000000000004</v>
      </c>
      <c r="I14" s="2">
        <v>1</v>
      </c>
      <c r="J14" s="2">
        <v>354472</v>
      </c>
      <c r="K14" s="2">
        <v>10.96</v>
      </c>
      <c r="L14" s="2">
        <v>20</v>
      </c>
      <c r="M14" s="2" t="s">
        <v>32</v>
      </c>
      <c r="N14" s="2">
        <v>8</v>
      </c>
      <c r="O14" s="2" t="s">
        <v>52</v>
      </c>
      <c r="P14" s="2">
        <v>13.23</v>
      </c>
      <c r="Q14" s="2">
        <v>0</v>
      </c>
      <c r="R14" s="2" t="s">
        <v>99</v>
      </c>
      <c r="S14" s="2">
        <v>16.32</v>
      </c>
      <c r="T14" s="2" t="s">
        <v>69</v>
      </c>
      <c r="U14" s="2">
        <v>46385</v>
      </c>
      <c r="V14" s="2">
        <v>343</v>
      </c>
      <c r="W14" s="2">
        <v>27469</v>
      </c>
      <c r="X14" s="2">
        <v>4128265</v>
      </c>
      <c r="Y14" s="2">
        <v>44.28</v>
      </c>
      <c r="Z14" s="2">
        <v>11</v>
      </c>
      <c r="AA14" s="2" t="s">
        <v>70</v>
      </c>
      <c r="AB14" s="2" t="s">
        <v>37</v>
      </c>
    </row>
    <row r="15" spans="1:28" ht="41.4">
      <c r="A15" s="2" t="s">
        <v>100</v>
      </c>
      <c r="B15" s="2" t="s">
        <v>89</v>
      </c>
      <c r="C15" s="2" t="s">
        <v>101</v>
      </c>
      <c r="D15" s="2" t="s">
        <v>102</v>
      </c>
      <c r="E15" s="2">
        <v>57.1</v>
      </c>
      <c r="F15" s="2">
        <v>14</v>
      </c>
      <c r="G15" s="2">
        <v>74</v>
      </c>
      <c r="H15" s="2">
        <v>1.54</v>
      </c>
      <c r="I15" s="2">
        <v>2</v>
      </c>
      <c r="J15" s="2">
        <v>262576</v>
      </c>
      <c r="K15" s="2">
        <v>2.0699999999999998</v>
      </c>
      <c r="L15" s="2">
        <v>20</v>
      </c>
      <c r="M15" s="2" t="s">
        <v>32</v>
      </c>
      <c r="N15" s="2">
        <v>12</v>
      </c>
      <c r="O15" s="2" t="s">
        <v>75</v>
      </c>
      <c r="P15" s="2">
        <v>15</v>
      </c>
      <c r="Q15" s="2">
        <v>2.89</v>
      </c>
      <c r="R15" s="2" t="s">
        <v>76</v>
      </c>
      <c r="S15" s="2">
        <v>16.510000000000002</v>
      </c>
      <c r="T15" s="2" t="s">
        <v>69</v>
      </c>
      <c r="U15" s="2">
        <v>49290</v>
      </c>
      <c r="V15" s="2">
        <v>229</v>
      </c>
      <c r="W15" s="2">
        <v>24539</v>
      </c>
      <c r="X15" s="2">
        <v>5914800</v>
      </c>
      <c r="Y15" s="2">
        <v>24.62</v>
      </c>
      <c r="Z15" s="2">
        <v>18</v>
      </c>
      <c r="AA15" s="2" t="s">
        <v>70</v>
      </c>
      <c r="AB15" s="2" t="s">
        <v>37</v>
      </c>
    </row>
    <row r="16" spans="1:28" ht="41.4">
      <c r="A16" s="2" t="s">
        <v>103</v>
      </c>
      <c r="B16" s="2" t="s">
        <v>104</v>
      </c>
      <c r="C16" s="2" t="s">
        <v>105</v>
      </c>
      <c r="D16" s="2" t="s">
        <v>106</v>
      </c>
      <c r="E16" s="2">
        <v>56.9</v>
      </c>
      <c r="F16" s="2">
        <v>15</v>
      </c>
      <c r="G16" s="2">
        <v>81</v>
      </c>
      <c r="H16" s="2">
        <v>1.5</v>
      </c>
      <c r="I16" s="2">
        <v>2</v>
      </c>
      <c r="J16" s="2">
        <v>137015</v>
      </c>
      <c r="K16" s="2">
        <v>1.92</v>
      </c>
      <c r="L16" s="2">
        <v>20</v>
      </c>
      <c r="M16" s="2" t="s">
        <v>32</v>
      </c>
      <c r="N16" s="2">
        <v>8</v>
      </c>
      <c r="O16" s="2" t="s">
        <v>52</v>
      </c>
      <c r="P16" s="2">
        <v>17.420000000000002</v>
      </c>
      <c r="Q16" s="2">
        <v>4.6500000000000004</v>
      </c>
      <c r="R16" s="2" t="s">
        <v>68</v>
      </c>
      <c r="S16" s="2">
        <v>16.309999999999999</v>
      </c>
      <c r="T16" s="2" t="s">
        <v>35</v>
      </c>
      <c r="U16" s="2">
        <v>49446</v>
      </c>
      <c r="V16" s="2">
        <v>245</v>
      </c>
      <c r="W16" s="2">
        <v>26652</v>
      </c>
      <c r="X16" s="2">
        <v>6675210</v>
      </c>
      <c r="Y16" s="2">
        <v>25.27</v>
      </c>
      <c r="Z16" s="2">
        <v>17</v>
      </c>
      <c r="AA16" s="2" t="s">
        <v>107</v>
      </c>
      <c r="AB16" s="2" t="s">
        <v>37</v>
      </c>
    </row>
    <row r="17" spans="1:28" ht="41.4">
      <c r="A17" s="2" t="s">
        <v>108</v>
      </c>
      <c r="B17" s="2" t="s">
        <v>89</v>
      </c>
      <c r="C17" s="2" t="s">
        <v>109</v>
      </c>
      <c r="D17" s="2" t="s">
        <v>110</v>
      </c>
      <c r="E17" s="2">
        <v>56.9</v>
      </c>
      <c r="F17" s="2">
        <v>16</v>
      </c>
      <c r="G17" s="2">
        <v>15</v>
      </c>
      <c r="H17" s="2">
        <v>3.17</v>
      </c>
      <c r="I17" s="2">
        <v>1</v>
      </c>
      <c r="J17" s="2">
        <v>509444</v>
      </c>
      <c r="K17" s="2">
        <v>7.47</v>
      </c>
      <c r="L17" s="2">
        <v>20</v>
      </c>
      <c r="M17" s="2" t="s">
        <v>32</v>
      </c>
      <c r="N17" s="2">
        <v>12</v>
      </c>
      <c r="O17" s="2" t="s">
        <v>75</v>
      </c>
      <c r="P17" s="2">
        <v>10.24</v>
      </c>
      <c r="Q17" s="2">
        <v>2.89</v>
      </c>
      <c r="R17" s="2" t="s">
        <v>76</v>
      </c>
      <c r="S17" s="2">
        <v>15.62</v>
      </c>
      <c r="T17" s="2" t="s">
        <v>69</v>
      </c>
      <c r="U17" s="2">
        <v>53964</v>
      </c>
      <c r="V17" s="2">
        <v>295</v>
      </c>
      <c r="W17" s="2">
        <v>31264</v>
      </c>
      <c r="X17" s="2">
        <v>6637572</v>
      </c>
      <c r="Y17" s="2">
        <v>34.18</v>
      </c>
      <c r="Z17" s="2">
        <v>15</v>
      </c>
      <c r="AA17" s="2" t="s">
        <v>70</v>
      </c>
      <c r="AB17" s="2" t="s">
        <v>37</v>
      </c>
    </row>
    <row r="18" spans="1:28" ht="41.4">
      <c r="A18" s="2" t="s">
        <v>111</v>
      </c>
      <c r="B18" s="2" t="s">
        <v>112</v>
      </c>
      <c r="C18" s="2" t="s">
        <v>113</v>
      </c>
      <c r="D18" s="2" t="s">
        <v>114</v>
      </c>
      <c r="E18" s="2">
        <v>56.5</v>
      </c>
      <c r="F18" s="2">
        <v>17</v>
      </c>
      <c r="G18" s="2">
        <v>65</v>
      </c>
      <c r="H18" s="2">
        <v>1.67</v>
      </c>
      <c r="I18" s="2">
        <v>1</v>
      </c>
      <c r="J18" s="2">
        <v>96589</v>
      </c>
      <c r="K18" s="2">
        <v>2.5099999999999998</v>
      </c>
      <c r="L18" s="2">
        <v>20</v>
      </c>
      <c r="M18" s="2" t="s">
        <v>32</v>
      </c>
      <c r="N18" s="2">
        <v>10</v>
      </c>
      <c r="O18" s="2" t="s">
        <v>59</v>
      </c>
      <c r="P18" s="2">
        <v>18.2</v>
      </c>
      <c r="Q18" s="2">
        <v>4.6500000000000004</v>
      </c>
      <c r="R18" s="2" t="s">
        <v>68</v>
      </c>
      <c r="S18" s="2">
        <v>12.46</v>
      </c>
      <c r="T18" s="2" t="s">
        <v>69</v>
      </c>
      <c r="U18" s="2">
        <v>90598</v>
      </c>
      <c r="V18" s="2">
        <v>425</v>
      </c>
      <c r="W18" s="2">
        <v>39970</v>
      </c>
      <c r="X18" s="2">
        <v>12864916</v>
      </c>
      <c r="Y18" s="2">
        <v>26.69</v>
      </c>
      <c r="Z18" s="2">
        <v>18</v>
      </c>
      <c r="AA18" s="2" t="s">
        <v>70</v>
      </c>
      <c r="AB18" s="2" t="s">
        <v>37</v>
      </c>
    </row>
    <row r="19" spans="1:28" ht="41.4">
      <c r="A19" s="2" t="s">
        <v>115</v>
      </c>
      <c r="B19" s="2" t="s">
        <v>65</v>
      </c>
      <c r="C19" s="2" t="s">
        <v>116</v>
      </c>
      <c r="D19" s="2" t="s">
        <v>117</v>
      </c>
      <c r="E19" s="2">
        <v>56.5</v>
      </c>
      <c r="F19" s="2">
        <v>18</v>
      </c>
      <c r="G19" s="2">
        <v>41</v>
      </c>
      <c r="H19" s="2">
        <v>2.0499999999999998</v>
      </c>
      <c r="I19" s="2">
        <v>1</v>
      </c>
      <c r="J19" s="2">
        <v>215697</v>
      </c>
      <c r="K19" s="2">
        <v>3.75</v>
      </c>
      <c r="L19" s="2">
        <v>20</v>
      </c>
      <c r="M19" s="2" t="s">
        <v>32</v>
      </c>
      <c r="N19" s="2">
        <v>7</v>
      </c>
      <c r="O19" s="2" t="s">
        <v>52</v>
      </c>
      <c r="P19" s="2">
        <v>15.9</v>
      </c>
      <c r="Q19" s="2">
        <v>4.6500000000000004</v>
      </c>
      <c r="R19" s="2" t="s">
        <v>68</v>
      </c>
      <c r="S19" s="2">
        <v>16.420000000000002</v>
      </c>
      <c r="T19" s="2" t="s">
        <v>69</v>
      </c>
      <c r="U19" s="2">
        <v>51870</v>
      </c>
      <c r="V19" s="2">
        <v>316</v>
      </c>
      <c r="W19" s="2">
        <v>29033</v>
      </c>
      <c r="X19" s="2">
        <v>5601960</v>
      </c>
      <c r="Y19" s="2">
        <v>22.39</v>
      </c>
      <c r="Z19" s="2">
        <v>14</v>
      </c>
      <c r="AA19" s="2" t="s">
        <v>70</v>
      </c>
      <c r="AB19" s="2" t="s">
        <v>37</v>
      </c>
    </row>
    <row r="20" spans="1:28" ht="41.4">
      <c r="A20" s="2" t="s">
        <v>118</v>
      </c>
      <c r="B20" s="2" t="s">
        <v>56</v>
      </c>
      <c r="C20" s="2" t="s">
        <v>119</v>
      </c>
      <c r="D20" s="2" t="s">
        <v>120</v>
      </c>
      <c r="E20" s="2">
        <v>56.5</v>
      </c>
      <c r="F20" s="2">
        <v>19</v>
      </c>
      <c r="G20" s="2">
        <v>69</v>
      </c>
      <c r="H20" s="2">
        <v>1.58</v>
      </c>
      <c r="I20" s="2">
        <v>2</v>
      </c>
      <c r="J20" s="2">
        <v>300296</v>
      </c>
      <c r="K20" s="2">
        <v>2.19</v>
      </c>
      <c r="L20" s="2">
        <v>12</v>
      </c>
      <c r="M20" s="2" t="s">
        <v>121</v>
      </c>
      <c r="N20" s="2">
        <v>10</v>
      </c>
      <c r="O20" s="2" t="s">
        <v>59</v>
      </c>
      <c r="P20" s="2">
        <v>14.27</v>
      </c>
      <c r="Q20" s="2">
        <v>10.52</v>
      </c>
      <c r="R20" s="2" t="s">
        <v>53</v>
      </c>
      <c r="S20" s="2">
        <v>18.75</v>
      </c>
      <c r="T20" s="2" t="s">
        <v>35</v>
      </c>
      <c r="U20" s="2">
        <v>30990</v>
      </c>
      <c r="V20" s="2">
        <v>208</v>
      </c>
      <c r="W20" s="2">
        <v>20800</v>
      </c>
      <c r="X20" s="2">
        <v>3687810</v>
      </c>
      <c r="Y20" s="2">
        <v>18.55</v>
      </c>
      <c r="Z20" s="2">
        <v>12</v>
      </c>
      <c r="AA20" s="2" t="s">
        <v>60</v>
      </c>
      <c r="AB20" s="2" t="s">
        <v>37</v>
      </c>
    </row>
    <row r="21" spans="1:28" ht="41.4">
      <c r="A21" s="2" t="s">
        <v>122</v>
      </c>
      <c r="B21" s="2" t="s">
        <v>82</v>
      </c>
      <c r="C21" s="2" t="s">
        <v>123</v>
      </c>
      <c r="D21" s="2" t="s">
        <v>124</v>
      </c>
      <c r="E21" s="2">
        <v>56.2</v>
      </c>
      <c r="F21" s="2">
        <v>20</v>
      </c>
      <c r="G21" s="2">
        <v>34</v>
      </c>
      <c r="H21" s="2">
        <v>2.33</v>
      </c>
      <c r="I21" s="2">
        <v>1</v>
      </c>
      <c r="J21" s="2">
        <v>411800</v>
      </c>
      <c r="K21" s="2">
        <v>4.7</v>
      </c>
      <c r="L21" s="2">
        <v>20</v>
      </c>
      <c r="M21" s="2" t="s">
        <v>32</v>
      </c>
      <c r="N21" s="2">
        <v>5</v>
      </c>
      <c r="O21" s="2" t="s">
        <v>85</v>
      </c>
      <c r="P21" s="2">
        <v>12.12</v>
      </c>
      <c r="Q21" s="2">
        <v>8.19</v>
      </c>
      <c r="R21" s="2" t="s">
        <v>86</v>
      </c>
      <c r="S21" s="2">
        <v>17.36</v>
      </c>
      <c r="T21" s="2" t="s">
        <v>35</v>
      </c>
      <c r="U21" s="2">
        <v>40219</v>
      </c>
      <c r="V21" s="2">
        <v>228</v>
      </c>
      <c r="W21" s="2">
        <v>25091</v>
      </c>
      <c r="X21" s="2">
        <v>4987156</v>
      </c>
      <c r="Y21" s="2">
        <v>22.69</v>
      </c>
      <c r="Z21" s="2">
        <v>15</v>
      </c>
      <c r="AA21" s="2" t="s">
        <v>87</v>
      </c>
      <c r="AB21" s="2" t="s">
        <v>37</v>
      </c>
    </row>
    <row r="22" spans="1:28" ht="41.4">
      <c r="A22" s="2" t="s">
        <v>125</v>
      </c>
      <c r="B22" s="2" t="s">
        <v>96</v>
      </c>
      <c r="C22" s="2" t="s">
        <v>126</v>
      </c>
      <c r="D22" s="2" t="s">
        <v>127</v>
      </c>
      <c r="E22" s="2">
        <v>56</v>
      </c>
      <c r="F22" s="2">
        <v>21</v>
      </c>
      <c r="G22" s="2">
        <v>3</v>
      </c>
      <c r="H22" s="2">
        <v>5.94</v>
      </c>
      <c r="I22" s="2">
        <v>1</v>
      </c>
      <c r="J22" s="2">
        <v>167264</v>
      </c>
      <c r="K22" s="2">
        <v>16.63</v>
      </c>
      <c r="L22" s="2">
        <v>20</v>
      </c>
      <c r="M22" s="2" t="s">
        <v>32</v>
      </c>
      <c r="N22" s="2">
        <v>8</v>
      </c>
      <c r="O22" s="2" t="s">
        <v>52</v>
      </c>
      <c r="P22" s="2">
        <v>16.84</v>
      </c>
      <c r="Q22" s="2">
        <v>0</v>
      </c>
      <c r="R22" s="2" t="s">
        <v>99</v>
      </c>
      <c r="S22" s="2">
        <v>5.72</v>
      </c>
      <c r="T22" s="2" t="s">
        <v>69</v>
      </c>
      <c r="U22" s="2">
        <v>175542</v>
      </c>
      <c r="V22" s="2">
        <v>608</v>
      </c>
      <c r="W22" s="2">
        <v>63861</v>
      </c>
      <c r="X22" s="2">
        <v>22644918</v>
      </c>
      <c r="Y22" s="2">
        <v>28.21</v>
      </c>
      <c r="Z22" s="2">
        <v>24</v>
      </c>
      <c r="AA22" s="2" t="s">
        <v>70</v>
      </c>
      <c r="AB22" s="2" t="s">
        <v>37</v>
      </c>
    </row>
    <row r="23" spans="1:28" ht="41.4">
      <c r="A23" s="2" t="s">
        <v>128</v>
      </c>
      <c r="B23" s="2" t="s">
        <v>82</v>
      </c>
      <c r="C23" s="2" t="s">
        <v>129</v>
      </c>
      <c r="D23" s="2" t="s">
        <v>130</v>
      </c>
      <c r="E23" s="2">
        <v>55.8</v>
      </c>
      <c r="F23" s="2">
        <v>22</v>
      </c>
      <c r="G23" s="2">
        <v>44</v>
      </c>
      <c r="H23" s="2">
        <v>2.02</v>
      </c>
      <c r="I23" s="2">
        <v>1</v>
      </c>
      <c r="J23" s="2">
        <v>380831</v>
      </c>
      <c r="K23" s="2">
        <v>3.67</v>
      </c>
      <c r="L23" s="2">
        <v>20</v>
      </c>
      <c r="M23" s="2" t="s">
        <v>32</v>
      </c>
      <c r="N23" s="2">
        <v>5</v>
      </c>
      <c r="O23" s="2" t="s">
        <v>85</v>
      </c>
      <c r="P23" s="2">
        <v>12.72</v>
      </c>
      <c r="Q23" s="2">
        <v>8.19</v>
      </c>
      <c r="R23" s="2" t="s">
        <v>86</v>
      </c>
      <c r="S23" s="2">
        <v>17.36</v>
      </c>
      <c r="T23" s="2" t="s">
        <v>35</v>
      </c>
      <c r="U23" s="2">
        <v>40219</v>
      </c>
      <c r="V23" s="2">
        <v>228</v>
      </c>
      <c r="W23" s="2">
        <v>25091</v>
      </c>
      <c r="X23" s="2">
        <v>4987156</v>
      </c>
      <c r="Y23" s="2">
        <v>22.69</v>
      </c>
      <c r="Z23" s="2">
        <v>15</v>
      </c>
      <c r="AA23" s="2" t="s">
        <v>87</v>
      </c>
      <c r="AB23" s="2" t="s">
        <v>37</v>
      </c>
    </row>
    <row r="24" spans="1:28" ht="41.4">
      <c r="A24" s="2" t="s">
        <v>131</v>
      </c>
      <c r="B24" s="2" t="s">
        <v>112</v>
      </c>
      <c r="C24" s="2" t="s">
        <v>132</v>
      </c>
      <c r="D24" s="2" t="s">
        <v>133</v>
      </c>
      <c r="E24" s="2">
        <v>55.5</v>
      </c>
      <c r="F24" s="2">
        <v>23</v>
      </c>
      <c r="G24" s="2">
        <v>78</v>
      </c>
      <c r="H24" s="2">
        <v>1.52</v>
      </c>
      <c r="I24" s="2">
        <v>2</v>
      </c>
      <c r="J24" s="2">
        <v>182280</v>
      </c>
      <c r="K24" s="2">
        <v>2.0099999999999998</v>
      </c>
      <c r="L24" s="2">
        <v>20</v>
      </c>
      <c r="M24" s="2" t="s">
        <v>32</v>
      </c>
      <c r="N24" s="2">
        <v>10</v>
      </c>
      <c r="O24" s="2" t="s">
        <v>59</v>
      </c>
      <c r="P24" s="2">
        <v>16.55</v>
      </c>
      <c r="Q24" s="2">
        <v>4.6500000000000004</v>
      </c>
      <c r="R24" s="2" t="s">
        <v>68</v>
      </c>
      <c r="S24" s="2">
        <v>13.41</v>
      </c>
      <c r="T24" s="2" t="s">
        <v>69</v>
      </c>
      <c r="U24" s="2">
        <v>75859</v>
      </c>
      <c r="V24" s="2">
        <v>319</v>
      </c>
      <c r="W24" s="2">
        <v>35077</v>
      </c>
      <c r="X24" s="2">
        <v>10013388</v>
      </c>
      <c r="Y24" s="2">
        <v>36.76</v>
      </c>
      <c r="Z24" s="2">
        <v>20</v>
      </c>
      <c r="AA24" s="2" t="s">
        <v>70</v>
      </c>
      <c r="AB24" s="2" t="s">
        <v>37</v>
      </c>
    </row>
    <row r="25" spans="1:28" ht="41.4">
      <c r="A25" s="2" t="s">
        <v>134</v>
      </c>
      <c r="B25" s="2" t="s">
        <v>135</v>
      </c>
      <c r="C25" s="2" t="s">
        <v>136</v>
      </c>
      <c r="D25" s="2" t="s">
        <v>137</v>
      </c>
      <c r="E25" s="2">
        <v>55.5</v>
      </c>
      <c r="F25" s="2">
        <v>24</v>
      </c>
      <c r="G25" s="2">
        <v>62</v>
      </c>
      <c r="H25" s="2">
        <v>1.69</v>
      </c>
      <c r="I25" s="2">
        <v>1</v>
      </c>
      <c r="J25" s="2">
        <v>191228</v>
      </c>
      <c r="K25" s="2">
        <v>2.56</v>
      </c>
      <c r="L25" s="2">
        <v>0</v>
      </c>
      <c r="M25" s="2" t="s">
        <v>138</v>
      </c>
      <c r="N25" s="2">
        <v>10</v>
      </c>
      <c r="O25" s="2" t="s">
        <v>59</v>
      </c>
      <c r="P25" s="2">
        <v>16.38</v>
      </c>
      <c r="Q25" s="2">
        <v>18.57</v>
      </c>
      <c r="R25" s="2" t="s">
        <v>139</v>
      </c>
      <c r="S25" s="2">
        <v>19.100000000000001</v>
      </c>
      <c r="T25" s="2" t="s">
        <v>35</v>
      </c>
      <c r="U25" s="2">
        <v>23576</v>
      </c>
      <c r="V25" s="2">
        <v>136</v>
      </c>
      <c r="W25" s="2">
        <v>18432</v>
      </c>
      <c r="X25" s="2">
        <v>3536400</v>
      </c>
      <c r="Y25" s="2">
        <v>20.98</v>
      </c>
      <c r="Z25" s="2">
        <v>14</v>
      </c>
      <c r="AA25" s="2" t="s">
        <v>140</v>
      </c>
      <c r="AB25" s="2" t="s">
        <v>37</v>
      </c>
    </row>
    <row r="26" spans="1:28" ht="41.4">
      <c r="A26" s="2" t="s">
        <v>141</v>
      </c>
      <c r="B26" s="2" t="s">
        <v>89</v>
      </c>
      <c r="C26" s="2" t="s">
        <v>142</v>
      </c>
      <c r="D26" s="2" t="s">
        <v>143</v>
      </c>
      <c r="E26" s="2">
        <v>55.1</v>
      </c>
      <c r="F26" s="2">
        <v>25</v>
      </c>
      <c r="G26" s="2">
        <v>64</v>
      </c>
      <c r="H26" s="2">
        <v>1.68</v>
      </c>
      <c r="I26" s="2">
        <v>1</v>
      </c>
      <c r="J26" s="2">
        <v>361873</v>
      </c>
      <c r="K26" s="2">
        <v>2.52</v>
      </c>
      <c r="L26" s="2">
        <v>20</v>
      </c>
      <c r="M26" s="2" t="s">
        <v>32</v>
      </c>
      <c r="N26" s="2">
        <v>12</v>
      </c>
      <c r="O26" s="2" t="s">
        <v>75</v>
      </c>
      <c r="P26" s="2">
        <v>13.08</v>
      </c>
      <c r="Q26" s="2">
        <v>2.89</v>
      </c>
      <c r="R26" s="2" t="s">
        <v>76</v>
      </c>
      <c r="S26" s="2">
        <v>15.64</v>
      </c>
      <c r="T26" s="2" t="s">
        <v>69</v>
      </c>
      <c r="U26" s="2">
        <v>57946</v>
      </c>
      <c r="V26" s="2">
        <v>243</v>
      </c>
      <c r="W26" s="2">
        <v>24079</v>
      </c>
      <c r="X26" s="2">
        <v>6374060</v>
      </c>
      <c r="Y26" s="2">
        <v>30.85</v>
      </c>
      <c r="Z26" s="2">
        <v>20</v>
      </c>
      <c r="AA26" s="2" t="s">
        <v>70</v>
      </c>
      <c r="AB26" s="2" t="s">
        <v>37</v>
      </c>
    </row>
    <row r="27" spans="1:28" ht="41.4">
      <c r="A27" s="2" t="s">
        <v>144</v>
      </c>
      <c r="B27" s="2" t="s">
        <v>65</v>
      </c>
      <c r="C27" s="2" t="s">
        <v>145</v>
      </c>
      <c r="D27" s="2" t="s">
        <v>146</v>
      </c>
      <c r="E27" s="2">
        <v>55</v>
      </c>
      <c r="F27" s="2">
        <v>26</v>
      </c>
      <c r="G27" s="2">
        <v>17</v>
      </c>
      <c r="H27" s="2">
        <v>3.03</v>
      </c>
      <c r="I27" s="2">
        <v>1</v>
      </c>
      <c r="J27" s="2">
        <v>448737</v>
      </c>
      <c r="K27" s="2">
        <v>6.99</v>
      </c>
      <c r="L27" s="2">
        <v>20</v>
      </c>
      <c r="M27" s="2" t="s">
        <v>32</v>
      </c>
      <c r="N27" s="2">
        <v>7</v>
      </c>
      <c r="O27" s="2" t="s">
        <v>52</v>
      </c>
      <c r="P27" s="2">
        <v>11.41</v>
      </c>
      <c r="Q27" s="2">
        <v>4.6500000000000004</v>
      </c>
      <c r="R27" s="2" t="s">
        <v>68</v>
      </c>
      <c r="S27" s="2">
        <v>15.87</v>
      </c>
      <c r="T27" s="2" t="s">
        <v>69</v>
      </c>
      <c r="U27" s="2">
        <v>59567</v>
      </c>
      <c r="V27" s="2">
        <v>288</v>
      </c>
      <c r="W27" s="2">
        <v>28789</v>
      </c>
      <c r="X27" s="2">
        <v>6850205</v>
      </c>
      <c r="Y27" s="2">
        <v>20.27</v>
      </c>
      <c r="Z27" s="2">
        <v>17</v>
      </c>
      <c r="AA27" s="2" t="s">
        <v>70</v>
      </c>
      <c r="AB27" s="2" t="s">
        <v>37</v>
      </c>
    </row>
    <row r="28" spans="1:28" ht="41.4">
      <c r="A28" s="2" t="s">
        <v>147</v>
      </c>
      <c r="B28" s="2" t="s">
        <v>112</v>
      </c>
      <c r="C28" s="2" t="s">
        <v>148</v>
      </c>
      <c r="D28" s="2" t="s">
        <v>149</v>
      </c>
      <c r="E28" s="2">
        <v>54.9</v>
      </c>
      <c r="F28" s="2">
        <v>27</v>
      </c>
      <c r="G28" s="2">
        <v>25</v>
      </c>
      <c r="H28" s="2">
        <v>2.48</v>
      </c>
      <c r="I28" s="2">
        <v>1</v>
      </c>
      <c r="J28" s="2">
        <v>203035</v>
      </c>
      <c r="K28" s="2">
        <v>5.19</v>
      </c>
      <c r="L28" s="2">
        <v>20</v>
      </c>
      <c r="M28" s="2" t="s">
        <v>32</v>
      </c>
      <c r="N28" s="2">
        <v>10</v>
      </c>
      <c r="O28" s="2" t="s">
        <v>59</v>
      </c>
      <c r="P28" s="2">
        <v>16.149999999999999</v>
      </c>
      <c r="Q28" s="2">
        <v>4.6500000000000004</v>
      </c>
      <c r="R28" s="2" t="s">
        <v>68</v>
      </c>
      <c r="S28" s="2">
        <v>9.82</v>
      </c>
      <c r="T28" s="2" t="s">
        <v>69</v>
      </c>
      <c r="U28" s="2">
        <v>124947</v>
      </c>
      <c r="V28" s="2">
        <v>498</v>
      </c>
      <c r="W28" s="2">
        <v>48344</v>
      </c>
      <c r="X28" s="2">
        <v>16742898</v>
      </c>
      <c r="Y28" s="2">
        <v>24.87</v>
      </c>
      <c r="Z28" s="2">
        <v>21</v>
      </c>
      <c r="AA28" s="2" t="s">
        <v>70</v>
      </c>
      <c r="AB28" s="2" t="s">
        <v>37</v>
      </c>
    </row>
    <row r="29" spans="1:28" ht="41.4">
      <c r="A29" s="2" t="s">
        <v>150</v>
      </c>
      <c r="B29" s="2" t="s">
        <v>96</v>
      </c>
      <c r="C29" s="2" t="s">
        <v>151</v>
      </c>
      <c r="D29" s="2" t="s">
        <v>152</v>
      </c>
      <c r="E29" s="2">
        <v>54.5</v>
      </c>
      <c r="F29" s="2">
        <v>28</v>
      </c>
      <c r="G29" s="2">
        <v>12</v>
      </c>
      <c r="H29" s="2">
        <v>3.39</v>
      </c>
      <c r="I29" s="2">
        <v>1</v>
      </c>
      <c r="J29" s="2">
        <v>216688</v>
      </c>
      <c r="K29" s="2">
        <v>8.2100000000000009</v>
      </c>
      <c r="L29" s="2">
        <v>20</v>
      </c>
      <c r="M29" s="2" t="s">
        <v>32</v>
      </c>
      <c r="N29" s="2">
        <v>8</v>
      </c>
      <c r="O29" s="2" t="s">
        <v>52</v>
      </c>
      <c r="P29" s="2">
        <v>15.89</v>
      </c>
      <c r="Q29" s="2">
        <v>0</v>
      </c>
      <c r="R29" s="2" t="s">
        <v>99</v>
      </c>
      <c r="S29" s="2">
        <v>13.24</v>
      </c>
      <c r="T29" s="2" t="s">
        <v>69</v>
      </c>
      <c r="U29" s="2">
        <v>76202</v>
      </c>
      <c r="V29" s="2">
        <v>505</v>
      </c>
      <c r="W29" s="2">
        <v>40877</v>
      </c>
      <c r="X29" s="2">
        <v>7162988</v>
      </c>
      <c r="Y29" s="2">
        <v>42.25</v>
      </c>
      <c r="Z29" s="2">
        <v>13</v>
      </c>
      <c r="AA29" s="2" t="s">
        <v>70</v>
      </c>
      <c r="AB29" s="2" t="s">
        <v>37</v>
      </c>
    </row>
    <row r="30" spans="1:28" ht="41.4">
      <c r="A30" s="2" t="s">
        <v>153</v>
      </c>
      <c r="B30" s="2" t="s">
        <v>154</v>
      </c>
      <c r="C30" s="2" t="s">
        <v>155</v>
      </c>
      <c r="D30" s="2" t="s">
        <v>156</v>
      </c>
      <c r="E30" s="2">
        <v>54.6</v>
      </c>
      <c r="F30" s="2">
        <v>29</v>
      </c>
      <c r="G30" s="2">
        <v>58</v>
      </c>
      <c r="H30" s="2">
        <v>1.78</v>
      </c>
      <c r="I30" s="2">
        <v>1</v>
      </c>
      <c r="J30" s="2">
        <v>38530</v>
      </c>
      <c r="K30" s="2">
        <v>2.86</v>
      </c>
      <c r="L30" s="2">
        <v>0</v>
      </c>
      <c r="M30" s="2" t="s">
        <v>138</v>
      </c>
      <c r="N30" s="2">
        <v>14</v>
      </c>
      <c r="O30" s="2" t="s">
        <v>42</v>
      </c>
      <c r="P30" s="2">
        <v>19.32</v>
      </c>
      <c r="Q30" s="2">
        <v>10.32</v>
      </c>
      <c r="R30" s="2" t="s">
        <v>157</v>
      </c>
      <c r="S30" s="2">
        <v>18.98</v>
      </c>
      <c r="T30" s="2" t="s">
        <v>35</v>
      </c>
      <c r="U30" s="2">
        <v>22905</v>
      </c>
      <c r="V30" s="2">
        <v>155</v>
      </c>
      <c r="W30" s="2">
        <v>19577</v>
      </c>
      <c r="X30" s="2">
        <v>2931840</v>
      </c>
      <c r="Y30" s="2">
        <v>30.14</v>
      </c>
      <c r="Z30" s="2">
        <v>12</v>
      </c>
      <c r="AA30" s="2" t="s">
        <v>158</v>
      </c>
      <c r="AB30" s="2" t="s">
        <v>37</v>
      </c>
    </row>
    <row r="31" spans="1:28" ht="41.4">
      <c r="A31" s="2" t="s">
        <v>159</v>
      </c>
      <c r="B31" s="2" t="s">
        <v>65</v>
      </c>
      <c r="C31" s="2" t="s">
        <v>160</v>
      </c>
      <c r="D31" s="2" t="s">
        <v>161</v>
      </c>
      <c r="E31" s="2">
        <v>54.3</v>
      </c>
      <c r="F31" s="2">
        <v>30</v>
      </c>
      <c r="G31" s="2">
        <v>67</v>
      </c>
      <c r="H31" s="2">
        <v>1.63</v>
      </c>
      <c r="I31" s="2">
        <v>1</v>
      </c>
      <c r="J31" s="2">
        <v>61732</v>
      </c>
      <c r="K31" s="2">
        <v>2.38</v>
      </c>
      <c r="L31" s="2">
        <v>20</v>
      </c>
      <c r="M31" s="2" t="s">
        <v>32</v>
      </c>
      <c r="N31" s="2">
        <v>7</v>
      </c>
      <c r="O31" s="2" t="s">
        <v>52</v>
      </c>
      <c r="P31" s="2">
        <v>18.87</v>
      </c>
      <c r="Q31" s="2">
        <v>4.6500000000000004</v>
      </c>
      <c r="R31" s="2" t="s">
        <v>68</v>
      </c>
      <c r="S31" s="2">
        <v>12.21</v>
      </c>
      <c r="T31" s="2" t="s">
        <v>69</v>
      </c>
      <c r="U31" s="2">
        <v>85156</v>
      </c>
      <c r="V31" s="2">
        <v>364</v>
      </c>
      <c r="W31" s="2">
        <v>48461</v>
      </c>
      <c r="X31" s="2">
        <v>12773400</v>
      </c>
      <c r="Y31" s="2">
        <v>29.24</v>
      </c>
      <c r="Z31" s="2">
        <v>19</v>
      </c>
      <c r="AA31" s="2" t="s">
        <v>70</v>
      </c>
      <c r="AB31" s="2" t="s">
        <v>37</v>
      </c>
    </row>
    <row r="32" spans="1:28" ht="41.4">
      <c r="A32" s="2" t="s">
        <v>162</v>
      </c>
      <c r="B32" s="2" t="s">
        <v>65</v>
      </c>
      <c r="C32" s="2" t="s">
        <v>163</v>
      </c>
      <c r="D32" s="2" t="s">
        <v>164</v>
      </c>
      <c r="E32" s="2">
        <v>54.1</v>
      </c>
      <c r="F32" s="2">
        <v>31</v>
      </c>
      <c r="G32" s="2">
        <v>37</v>
      </c>
      <c r="H32" s="2">
        <v>2.2200000000000002</v>
      </c>
      <c r="I32" s="2">
        <v>1</v>
      </c>
      <c r="J32" s="2">
        <v>341580</v>
      </c>
      <c r="K32" s="2">
        <v>4.33</v>
      </c>
      <c r="L32" s="2">
        <v>20</v>
      </c>
      <c r="M32" s="2" t="s">
        <v>32</v>
      </c>
      <c r="N32" s="2">
        <v>7</v>
      </c>
      <c r="O32" s="2" t="s">
        <v>52</v>
      </c>
      <c r="P32" s="2">
        <v>13.48</v>
      </c>
      <c r="Q32" s="2">
        <v>4.6500000000000004</v>
      </c>
      <c r="R32" s="2" t="s">
        <v>68</v>
      </c>
      <c r="S32" s="2">
        <v>15.44</v>
      </c>
      <c r="T32" s="2" t="s">
        <v>69</v>
      </c>
      <c r="U32" s="2">
        <v>59296</v>
      </c>
      <c r="V32" s="2">
        <v>332</v>
      </c>
      <c r="W32" s="2">
        <v>36468</v>
      </c>
      <c r="X32" s="2">
        <v>7174816</v>
      </c>
      <c r="Y32" s="2">
        <v>20.22</v>
      </c>
      <c r="Z32" s="2">
        <v>15</v>
      </c>
      <c r="AA32" s="2" t="s">
        <v>70</v>
      </c>
      <c r="AB32" s="2" t="s">
        <v>37</v>
      </c>
    </row>
    <row r="33" spans="1:28" ht="41.4">
      <c r="A33" s="2" t="s">
        <v>165</v>
      </c>
      <c r="B33" s="2" t="s">
        <v>65</v>
      </c>
      <c r="C33" s="2" t="s">
        <v>166</v>
      </c>
      <c r="D33" s="2" t="s">
        <v>167</v>
      </c>
      <c r="E33" s="2">
        <v>53.3</v>
      </c>
      <c r="F33" s="2">
        <v>32</v>
      </c>
      <c r="G33" s="2">
        <v>92</v>
      </c>
      <c r="H33" s="2">
        <v>1.32</v>
      </c>
      <c r="I33" s="2">
        <v>2</v>
      </c>
      <c r="J33" s="2">
        <v>299859</v>
      </c>
      <c r="K33" s="2">
        <v>1.35</v>
      </c>
      <c r="L33" s="2">
        <v>20</v>
      </c>
      <c r="M33" s="2" t="s">
        <v>32</v>
      </c>
      <c r="N33" s="2">
        <v>7</v>
      </c>
      <c r="O33" s="2" t="s">
        <v>52</v>
      </c>
      <c r="P33" s="2">
        <v>14.28</v>
      </c>
      <c r="Q33" s="2">
        <v>4.6500000000000004</v>
      </c>
      <c r="R33" s="2" t="s">
        <v>68</v>
      </c>
      <c r="S33" s="2">
        <v>16.63</v>
      </c>
      <c r="T33" s="2" t="s">
        <v>69</v>
      </c>
      <c r="U33" s="2">
        <v>49459</v>
      </c>
      <c r="V33" s="2">
        <v>252</v>
      </c>
      <c r="W33" s="2">
        <v>28005</v>
      </c>
      <c r="X33" s="2">
        <v>5935080</v>
      </c>
      <c r="Y33" s="2">
        <v>20.56</v>
      </c>
      <c r="Z33" s="2">
        <v>16</v>
      </c>
      <c r="AA33" s="2" t="s">
        <v>70</v>
      </c>
      <c r="AB33" s="2" t="s">
        <v>37</v>
      </c>
    </row>
    <row r="34" spans="1:28" ht="41.4">
      <c r="A34" s="2" t="s">
        <v>168</v>
      </c>
      <c r="B34" s="2" t="s">
        <v>65</v>
      </c>
      <c r="C34" s="2" t="s">
        <v>169</v>
      </c>
      <c r="D34" s="2" t="s">
        <v>170</v>
      </c>
      <c r="E34" s="2">
        <v>53</v>
      </c>
      <c r="F34" s="2">
        <v>33</v>
      </c>
      <c r="G34" s="2">
        <v>52</v>
      </c>
      <c r="H34" s="2">
        <v>1.88</v>
      </c>
      <c r="I34" s="2">
        <v>1</v>
      </c>
      <c r="J34" s="2">
        <v>38500</v>
      </c>
      <c r="K34" s="2">
        <v>3.2</v>
      </c>
      <c r="L34" s="2">
        <v>20</v>
      </c>
      <c r="M34" s="2" t="s">
        <v>32</v>
      </c>
      <c r="N34" s="2">
        <v>7</v>
      </c>
      <c r="O34" s="2" t="s">
        <v>52</v>
      </c>
      <c r="P34" s="2">
        <v>19.32</v>
      </c>
      <c r="Q34" s="2">
        <v>4.6500000000000004</v>
      </c>
      <c r="R34" s="2" t="s">
        <v>68</v>
      </c>
      <c r="S34" s="2">
        <v>9.4499999999999993</v>
      </c>
      <c r="T34" s="2" t="s">
        <v>69</v>
      </c>
      <c r="U34" s="2">
        <v>102820</v>
      </c>
      <c r="V34" s="2">
        <v>447</v>
      </c>
      <c r="W34" s="2">
        <v>64858</v>
      </c>
      <c r="X34" s="2">
        <v>19330160</v>
      </c>
      <c r="Y34" s="2">
        <v>29.13</v>
      </c>
      <c r="Z34" s="2">
        <v>19</v>
      </c>
      <c r="AA34" s="2" t="s">
        <v>70</v>
      </c>
      <c r="AB34" s="2" t="s">
        <v>37</v>
      </c>
    </row>
    <row r="35" spans="1:28" ht="41.4">
      <c r="A35" s="2" t="s">
        <v>171</v>
      </c>
      <c r="B35" s="2" t="s">
        <v>96</v>
      </c>
      <c r="C35" s="2" t="s">
        <v>172</v>
      </c>
      <c r="D35" s="2" t="s">
        <v>173</v>
      </c>
      <c r="E35" s="2">
        <v>52.9</v>
      </c>
      <c r="F35" s="2">
        <v>34</v>
      </c>
      <c r="G35" s="2">
        <v>19</v>
      </c>
      <c r="H35" s="2">
        <v>2.73</v>
      </c>
      <c r="I35" s="2">
        <v>1</v>
      </c>
      <c r="J35" s="2">
        <v>301400</v>
      </c>
      <c r="K35" s="2">
        <v>6.01</v>
      </c>
      <c r="L35" s="2">
        <v>20</v>
      </c>
      <c r="M35" s="2" t="s">
        <v>32</v>
      </c>
      <c r="N35" s="2">
        <v>8</v>
      </c>
      <c r="O35" s="2" t="s">
        <v>52</v>
      </c>
      <c r="P35" s="2">
        <v>14.25</v>
      </c>
      <c r="Q35" s="2">
        <v>0</v>
      </c>
      <c r="R35" s="2" t="s">
        <v>99</v>
      </c>
      <c r="S35" s="2">
        <v>15.23</v>
      </c>
      <c r="T35" s="2" t="s">
        <v>69</v>
      </c>
      <c r="U35" s="2">
        <v>63674</v>
      </c>
      <c r="V35" s="2">
        <v>330</v>
      </c>
      <c r="W35" s="2">
        <v>33677</v>
      </c>
      <c r="X35" s="2">
        <v>7322510</v>
      </c>
      <c r="Y35" s="2">
        <v>23.07</v>
      </c>
      <c r="Z35" s="2">
        <v>16</v>
      </c>
      <c r="AA35" s="2" t="s">
        <v>70</v>
      </c>
      <c r="AB35" s="2" t="s">
        <v>37</v>
      </c>
    </row>
    <row r="36" spans="1:28" ht="41.4">
      <c r="A36" s="2" t="s">
        <v>174</v>
      </c>
      <c r="B36" s="2" t="s">
        <v>65</v>
      </c>
      <c r="C36" s="2" t="s">
        <v>175</v>
      </c>
      <c r="D36" s="2" t="s">
        <v>176</v>
      </c>
      <c r="E36" s="2">
        <v>52.4</v>
      </c>
      <c r="F36" s="2">
        <v>35</v>
      </c>
      <c r="G36" s="2">
        <v>45</v>
      </c>
      <c r="H36" s="2">
        <v>2</v>
      </c>
      <c r="I36" s="2">
        <v>1</v>
      </c>
      <c r="J36" s="2">
        <v>50828</v>
      </c>
      <c r="K36" s="2">
        <v>3.59</v>
      </c>
      <c r="L36" s="2">
        <v>20</v>
      </c>
      <c r="M36" s="2" t="s">
        <v>32</v>
      </c>
      <c r="N36" s="2">
        <v>7</v>
      </c>
      <c r="O36" s="2" t="s">
        <v>52</v>
      </c>
      <c r="P36" s="2">
        <v>19.079999999999998</v>
      </c>
      <c r="Q36" s="2">
        <v>4.6500000000000004</v>
      </c>
      <c r="R36" s="2" t="s">
        <v>68</v>
      </c>
      <c r="S36" s="2">
        <v>8.5399999999999991</v>
      </c>
      <c r="T36" s="2" t="s">
        <v>69</v>
      </c>
      <c r="U36" s="2">
        <v>133585</v>
      </c>
      <c r="V36" s="2">
        <v>449</v>
      </c>
      <c r="W36" s="2">
        <v>51190</v>
      </c>
      <c r="X36" s="2">
        <v>19904165</v>
      </c>
      <c r="Y36" s="2">
        <v>28.64</v>
      </c>
      <c r="Z36" s="2">
        <v>25</v>
      </c>
      <c r="AA36" s="2" t="s">
        <v>70</v>
      </c>
      <c r="AB36" s="2" t="s">
        <v>37</v>
      </c>
    </row>
    <row r="37" spans="1:28" ht="41.4">
      <c r="A37" s="2" t="s">
        <v>177</v>
      </c>
      <c r="B37" s="2" t="s">
        <v>65</v>
      </c>
      <c r="C37" s="2" t="s">
        <v>178</v>
      </c>
      <c r="D37" s="2" t="s">
        <v>179</v>
      </c>
      <c r="E37" s="2">
        <v>52.4</v>
      </c>
      <c r="F37" s="2">
        <v>36</v>
      </c>
      <c r="G37" s="2">
        <v>59</v>
      </c>
      <c r="H37" s="2">
        <v>1.77</v>
      </c>
      <c r="I37" s="2">
        <v>1</v>
      </c>
      <c r="J37" s="2">
        <v>79610</v>
      </c>
      <c r="K37" s="2">
        <v>2.83</v>
      </c>
      <c r="L37" s="2">
        <v>20</v>
      </c>
      <c r="M37" s="2" t="s">
        <v>32</v>
      </c>
      <c r="N37" s="2">
        <v>7</v>
      </c>
      <c r="O37" s="2" t="s">
        <v>52</v>
      </c>
      <c r="P37" s="2">
        <v>18.53</v>
      </c>
      <c r="Q37" s="2">
        <v>4.6500000000000004</v>
      </c>
      <c r="R37" s="2" t="s">
        <v>68</v>
      </c>
      <c r="S37" s="2">
        <v>9.8800000000000008</v>
      </c>
      <c r="T37" s="2" t="s">
        <v>69</v>
      </c>
      <c r="U37" s="2">
        <v>107599</v>
      </c>
      <c r="V37" s="2">
        <v>453</v>
      </c>
      <c r="W37" s="2">
        <v>53041</v>
      </c>
      <c r="X37" s="2">
        <v>18829825</v>
      </c>
      <c r="Y37" s="2">
        <v>29.85</v>
      </c>
      <c r="Z37" s="2">
        <v>20</v>
      </c>
      <c r="AA37" s="2" t="s">
        <v>70</v>
      </c>
      <c r="AB37" s="2" t="s">
        <v>37</v>
      </c>
    </row>
    <row r="38" spans="1:28" ht="41.4">
      <c r="A38" s="2" t="s">
        <v>180</v>
      </c>
      <c r="B38" s="2" t="s">
        <v>89</v>
      </c>
      <c r="C38" s="2" t="s">
        <v>181</v>
      </c>
      <c r="D38" s="2" t="s">
        <v>182</v>
      </c>
      <c r="E38" s="2">
        <v>52</v>
      </c>
      <c r="F38" s="2">
        <v>37</v>
      </c>
      <c r="G38" s="2">
        <v>100</v>
      </c>
      <c r="H38" s="2">
        <v>1.22</v>
      </c>
      <c r="I38" s="2">
        <v>2</v>
      </c>
      <c r="J38" s="2">
        <v>90572</v>
      </c>
      <c r="K38" s="2">
        <v>1</v>
      </c>
      <c r="L38" s="2">
        <v>12</v>
      </c>
      <c r="M38" s="2" t="s">
        <v>121</v>
      </c>
      <c r="N38" s="2">
        <v>12</v>
      </c>
      <c r="O38" s="2" t="s">
        <v>75</v>
      </c>
      <c r="P38" s="2">
        <v>18.32</v>
      </c>
      <c r="Q38" s="2">
        <v>2.89</v>
      </c>
      <c r="R38" s="2" t="s">
        <v>76</v>
      </c>
      <c r="S38" s="2">
        <v>16.170000000000002</v>
      </c>
      <c r="T38" s="2" t="s">
        <v>69</v>
      </c>
      <c r="U38" s="2">
        <v>50858</v>
      </c>
      <c r="V38" s="2">
        <v>248</v>
      </c>
      <c r="W38" s="2">
        <v>23273</v>
      </c>
      <c r="X38" s="2">
        <v>6001244</v>
      </c>
      <c r="Y38" s="2">
        <v>35.299999999999997</v>
      </c>
      <c r="Z38" s="2">
        <v>17</v>
      </c>
      <c r="AA38" s="2" t="s">
        <v>70</v>
      </c>
      <c r="AB38" s="2" t="s">
        <v>37</v>
      </c>
    </row>
    <row r="39" spans="1:28" ht="41.4">
      <c r="A39" s="2" t="s">
        <v>183</v>
      </c>
      <c r="B39" s="2" t="s">
        <v>184</v>
      </c>
      <c r="C39" s="2" t="s">
        <v>62</v>
      </c>
      <c r="D39" s="2" t="s">
        <v>185</v>
      </c>
      <c r="E39" s="2">
        <v>52.1</v>
      </c>
      <c r="F39" s="2">
        <v>38</v>
      </c>
      <c r="G39" s="2">
        <v>40</v>
      </c>
      <c r="H39" s="2">
        <v>2.11</v>
      </c>
      <c r="I39" s="2">
        <v>1</v>
      </c>
      <c r="J39" s="2">
        <v>198428</v>
      </c>
      <c r="K39" s="2">
        <v>3.97</v>
      </c>
      <c r="L39" s="2">
        <v>0</v>
      </c>
      <c r="M39" s="2" t="s">
        <v>138</v>
      </c>
      <c r="N39" s="2">
        <v>14</v>
      </c>
      <c r="O39" s="2" t="s">
        <v>42</v>
      </c>
      <c r="P39" s="2">
        <v>16.239999999999998</v>
      </c>
      <c r="Q39" s="2">
        <v>10.52</v>
      </c>
      <c r="R39" s="2" t="s">
        <v>53</v>
      </c>
      <c r="S39" s="2">
        <v>17.75</v>
      </c>
      <c r="T39" s="2" t="s">
        <v>35</v>
      </c>
      <c r="U39" s="2">
        <v>39957</v>
      </c>
      <c r="V39" s="2">
        <v>258</v>
      </c>
      <c r="W39" s="2">
        <v>22206</v>
      </c>
      <c r="X39" s="2">
        <v>4395270</v>
      </c>
      <c r="Y39" s="2">
        <v>22.72</v>
      </c>
      <c r="Z39" s="2">
        <v>13</v>
      </c>
      <c r="AA39" s="2" t="s">
        <v>186</v>
      </c>
      <c r="AB39" s="2" t="s">
        <v>37</v>
      </c>
    </row>
    <row r="40" spans="1:28" ht="41.4">
      <c r="A40" s="2" t="s">
        <v>187</v>
      </c>
      <c r="B40" s="2" t="s">
        <v>96</v>
      </c>
      <c r="C40" s="2" t="s">
        <v>188</v>
      </c>
      <c r="D40" s="2" t="s">
        <v>189</v>
      </c>
      <c r="E40" s="2">
        <v>51.1</v>
      </c>
      <c r="F40" s="2">
        <v>39</v>
      </c>
      <c r="G40" s="2">
        <v>1</v>
      </c>
      <c r="H40" s="2">
        <v>6.96</v>
      </c>
      <c r="I40" s="2">
        <v>1</v>
      </c>
      <c r="J40" s="2">
        <v>263063</v>
      </c>
      <c r="K40" s="2">
        <v>20</v>
      </c>
      <c r="L40" s="2">
        <v>5</v>
      </c>
      <c r="M40" s="2" t="s">
        <v>190</v>
      </c>
      <c r="N40" s="2">
        <v>8</v>
      </c>
      <c r="O40" s="2" t="s">
        <v>52</v>
      </c>
      <c r="P40" s="2">
        <v>14.99</v>
      </c>
      <c r="Q40" s="2">
        <v>0</v>
      </c>
      <c r="R40" s="2" t="s">
        <v>99</v>
      </c>
      <c r="S40" s="2">
        <v>13.35</v>
      </c>
      <c r="T40" s="2" t="s">
        <v>69</v>
      </c>
      <c r="U40" s="2">
        <v>79884</v>
      </c>
      <c r="V40" s="2">
        <v>459</v>
      </c>
      <c r="W40" s="2">
        <v>40386</v>
      </c>
      <c r="X40" s="2">
        <v>8228052</v>
      </c>
      <c r="Y40" s="2">
        <v>33.08</v>
      </c>
      <c r="Z40" s="2">
        <v>15</v>
      </c>
      <c r="AA40" s="2" t="s">
        <v>70</v>
      </c>
      <c r="AB40" s="2" t="s">
        <v>37</v>
      </c>
    </row>
    <row r="41" spans="1:28" ht="41.4">
      <c r="A41" s="2" t="s">
        <v>191</v>
      </c>
      <c r="B41" s="2" t="s">
        <v>96</v>
      </c>
      <c r="C41" s="2" t="s">
        <v>192</v>
      </c>
      <c r="D41" s="2" t="s">
        <v>193</v>
      </c>
      <c r="E41" s="2">
        <v>51.1</v>
      </c>
      <c r="F41" s="2">
        <v>40</v>
      </c>
      <c r="G41" s="2">
        <v>23</v>
      </c>
      <c r="H41" s="2">
        <v>2.5</v>
      </c>
      <c r="I41" s="2">
        <v>1</v>
      </c>
      <c r="J41" s="2">
        <v>415290</v>
      </c>
      <c r="K41" s="2">
        <v>5.26</v>
      </c>
      <c r="L41" s="2">
        <v>20</v>
      </c>
      <c r="M41" s="2" t="s">
        <v>32</v>
      </c>
      <c r="N41" s="2">
        <v>8</v>
      </c>
      <c r="O41" s="2" t="s">
        <v>52</v>
      </c>
      <c r="P41" s="2">
        <v>12.05</v>
      </c>
      <c r="Q41" s="2">
        <v>0</v>
      </c>
      <c r="R41" s="2" t="s">
        <v>99</v>
      </c>
      <c r="S41" s="2">
        <v>15.92</v>
      </c>
      <c r="T41" s="2" t="s">
        <v>69</v>
      </c>
      <c r="U41" s="2">
        <v>44680</v>
      </c>
      <c r="V41" s="2">
        <v>298</v>
      </c>
      <c r="W41" s="2">
        <v>37544</v>
      </c>
      <c r="X41" s="2">
        <v>6210520</v>
      </c>
      <c r="Y41" s="2">
        <v>35.74</v>
      </c>
      <c r="Z41" s="2">
        <v>12</v>
      </c>
      <c r="AA41" s="2" t="s">
        <v>70</v>
      </c>
      <c r="AB41" s="2" t="s">
        <v>37</v>
      </c>
    </row>
    <row r="42" spans="1:28" ht="41.4">
      <c r="A42" s="2" t="s">
        <v>194</v>
      </c>
      <c r="B42" s="2" t="s">
        <v>96</v>
      </c>
      <c r="C42" s="2" t="s">
        <v>195</v>
      </c>
      <c r="D42" s="2" t="s">
        <v>196</v>
      </c>
      <c r="E42" s="2">
        <v>50.7</v>
      </c>
      <c r="F42" s="2">
        <v>41</v>
      </c>
      <c r="G42" s="2">
        <v>51</v>
      </c>
      <c r="H42" s="2">
        <v>1.89</v>
      </c>
      <c r="I42" s="2">
        <v>1</v>
      </c>
      <c r="J42" s="2">
        <v>280528</v>
      </c>
      <c r="K42" s="2">
        <v>3.23</v>
      </c>
      <c r="L42" s="2">
        <v>20</v>
      </c>
      <c r="M42" s="2" t="s">
        <v>32</v>
      </c>
      <c r="N42" s="2">
        <v>8</v>
      </c>
      <c r="O42" s="2" t="s">
        <v>52</v>
      </c>
      <c r="P42" s="2">
        <v>14.65</v>
      </c>
      <c r="Q42" s="2">
        <v>0</v>
      </c>
      <c r="R42" s="2" t="s">
        <v>99</v>
      </c>
      <c r="S42" s="2">
        <v>14.98</v>
      </c>
      <c r="T42" s="2" t="s">
        <v>69</v>
      </c>
      <c r="U42" s="2">
        <v>54380</v>
      </c>
      <c r="V42" s="2">
        <v>289</v>
      </c>
      <c r="W42" s="2">
        <v>36673</v>
      </c>
      <c r="X42" s="2">
        <v>8211380</v>
      </c>
      <c r="Y42" s="2">
        <v>33.5</v>
      </c>
      <c r="Z42" s="2">
        <v>16</v>
      </c>
      <c r="AA42" s="2" t="s">
        <v>70</v>
      </c>
      <c r="AB42" s="2" t="s">
        <v>37</v>
      </c>
    </row>
    <row r="43" spans="1:28" ht="41.4">
      <c r="A43" s="2" t="s">
        <v>197</v>
      </c>
      <c r="B43" s="2" t="s">
        <v>96</v>
      </c>
      <c r="C43" s="2" t="s">
        <v>198</v>
      </c>
      <c r="D43" s="2" t="s">
        <v>199</v>
      </c>
      <c r="E43" s="2">
        <v>50.4</v>
      </c>
      <c r="F43" s="2">
        <v>42</v>
      </c>
      <c r="G43" s="2">
        <v>6</v>
      </c>
      <c r="H43" s="2">
        <v>4.46</v>
      </c>
      <c r="I43" s="2">
        <v>1</v>
      </c>
      <c r="J43" s="2">
        <v>219893</v>
      </c>
      <c r="K43" s="2">
        <v>11.75</v>
      </c>
      <c r="L43" s="2">
        <v>20</v>
      </c>
      <c r="M43" s="2" t="s">
        <v>32</v>
      </c>
      <c r="N43" s="2">
        <v>6</v>
      </c>
      <c r="O43" s="2" t="s">
        <v>200</v>
      </c>
      <c r="P43" s="2">
        <v>15.82</v>
      </c>
      <c r="Q43" s="2">
        <v>0</v>
      </c>
      <c r="R43" s="2" t="s">
        <v>99</v>
      </c>
      <c r="S43" s="2">
        <v>6.84</v>
      </c>
      <c r="T43" s="2" t="s">
        <v>69</v>
      </c>
      <c r="U43" s="2">
        <v>123298</v>
      </c>
      <c r="V43" s="2">
        <v>623</v>
      </c>
      <c r="W43" s="2">
        <v>74097</v>
      </c>
      <c r="X43" s="2">
        <v>17385018</v>
      </c>
      <c r="Y43" s="2">
        <v>59.32</v>
      </c>
      <c r="Z43" s="2">
        <v>17</v>
      </c>
      <c r="AA43" s="2" t="s">
        <v>70</v>
      </c>
      <c r="AB43" s="2" t="s">
        <v>37</v>
      </c>
    </row>
    <row r="44" spans="1:28" ht="41.4">
      <c r="A44" s="2" t="s">
        <v>201</v>
      </c>
      <c r="B44" s="2" t="s">
        <v>202</v>
      </c>
      <c r="C44" s="2" t="s">
        <v>203</v>
      </c>
      <c r="D44" s="2" t="s">
        <v>204</v>
      </c>
      <c r="E44" s="2">
        <v>49.8</v>
      </c>
      <c r="F44" s="2">
        <v>43</v>
      </c>
      <c r="G44" s="2">
        <v>75</v>
      </c>
      <c r="H44" s="2">
        <v>1.54</v>
      </c>
      <c r="I44" s="2">
        <v>2</v>
      </c>
      <c r="J44" s="2">
        <v>62060</v>
      </c>
      <c r="K44" s="2">
        <v>2.0699999999999998</v>
      </c>
      <c r="L44" s="2">
        <v>0</v>
      </c>
      <c r="M44" s="2" t="s">
        <v>138</v>
      </c>
      <c r="N44" s="2">
        <v>15</v>
      </c>
      <c r="O44" s="2" t="s">
        <v>42</v>
      </c>
      <c r="P44" s="2">
        <v>18.87</v>
      </c>
      <c r="Q44" s="2">
        <v>5.69</v>
      </c>
      <c r="R44" s="2" t="s">
        <v>205</v>
      </c>
      <c r="S44" s="2">
        <v>18.100000000000001</v>
      </c>
      <c r="T44" s="2" t="s">
        <v>69</v>
      </c>
      <c r="U44" s="2">
        <v>28561</v>
      </c>
      <c r="V44" s="2">
        <v>182</v>
      </c>
      <c r="W44" s="2">
        <v>24754</v>
      </c>
      <c r="X44" s="2">
        <v>3969979</v>
      </c>
      <c r="Y44" s="2">
        <v>29.84</v>
      </c>
      <c r="Z44" s="2">
        <v>13</v>
      </c>
      <c r="AA44" s="2" t="s">
        <v>70</v>
      </c>
      <c r="AB44" s="2" t="s">
        <v>37</v>
      </c>
    </row>
    <row r="45" spans="1:28" ht="41.4">
      <c r="A45" s="2" t="s">
        <v>206</v>
      </c>
      <c r="B45" s="2" t="s">
        <v>96</v>
      </c>
      <c r="C45" s="2" t="s">
        <v>207</v>
      </c>
      <c r="D45" s="2" t="s">
        <v>208</v>
      </c>
      <c r="E45" s="2">
        <v>49.4</v>
      </c>
      <c r="F45" s="2">
        <v>44</v>
      </c>
      <c r="G45" s="2">
        <v>94</v>
      </c>
      <c r="H45" s="2">
        <v>1.31</v>
      </c>
      <c r="I45" s="2">
        <v>2</v>
      </c>
      <c r="J45" s="2">
        <v>232156</v>
      </c>
      <c r="K45" s="2">
        <v>1.32</v>
      </c>
      <c r="L45" s="2">
        <v>20</v>
      </c>
      <c r="M45" s="2" t="s">
        <v>32</v>
      </c>
      <c r="N45" s="2">
        <v>6</v>
      </c>
      <c r="O45" s="2" t="s">
        <v>200</v>
      </c>
      <c r="P45" s="2">
        <v>15.59</v>
      </c>
      <c r="Q45" s="2">
        <v>0</v>
      </c>
      <c r="R45" s="2" t="s">
        <v>99</v>
      </c>
      <c r="S45" s="2">
        <v>16.350000000000001</v>
      </c>
      <c r="T45" s="2" t="s">
        <v>69</v>
      </c>
      <c r="U45" s="2">
        <v>46165</v>
      </c>
      <c r="V45" s="2">
        <v>248</v>
      </c>
      <c r="W45" s="2">
        <v>26757</v>
      </c>
      <c r="X45" s="2">
        <v>6463100</v>
      </c>
      <c r="Y45" s="2">
        <v>30.41</v>
      </c>
      <c r="Z45" s="2">
        <v>16</v>
      </c>
      <c r="AA45" s="2" t="s">
        <v>70</v>
      </c>
      <c r="AB45" s="2" t="s">
        <v>37</v>
      </c>
    </row>
    <row r="46" spans="1:28" ht="41.4">
      <c r="A46" s="2" t="s">
        <v>209</v>
      </c>
      <c r="B46" s="2" t="s">
        <v>96</v>
      </c>
      <c r="C46" s="2" t="s">
        <v>210</v>
      </c>
      <c r="D46" s="2" t="s">
        <v>211</v>
      </c>
      <c r="E46" s="2">
        <v>48.3</v>
      </c>
      <c r="F46" s="2">
        <v>45</v>
      </c>
      <c r="G46" s="2">
        <v>4</v>
      </c>
      <c r="H46" s="2">
        <v>4.91</v>
      </c>
      <c r="I46" s="2">
        <v>1</v>
      </c>
      <c r="J46" s="2">
        <v>462189</v>
      </c>
      <c r="K46" s="2">
        <v>13.22</v>
      </c>
      <c r="L46" s="2">
        <v>20</v>
      </c>
      <c r="M46" s="2" t="s">
        <v>32</v>
      </c>
      <c r="N46" s="2">
        <v>8</v>
      </c>
      <c r="O46" s="2" t="s">
        <v>52</v>
      </c>
      <c r="P46" s="2">
        <v>11.15</v>
      </c>
      <c r="Q46" s="2">
        <v>0</v>
      </c>
      <c r="R46" s="2" t="s">
        <v>99</v>
      </c>
      <c r="S46" s="2">
        <v>5.62</v>
      </c>
      <c r="T46" s="2" t="s">
        <v>69</v>
      </c>
      <c r="U46" s="2">
        <v>162651</v>
      </c>
      <c r="V46" s="2">
        <v>670</v>
      </c>
      <c r="W46" s="2">
        <v>73672</v>
      </c>
      <c r="X46" s="2">
        <v>19355469</v>
      </c>
      <c r="Y46" s="2">
        <v>42.24</v>
      </c>
      <c r="Z46" s="2">
        <v>20</v>
      </c>
      <c r="AA46" s="2" t="s">
        <v>70</v>
      </c>
      <c r="AB46" s="2" t="s">
        <v>37</v>
      </c>
    </row>
    <row r="47" spans="1:28" ht="41.4">
      <c r="A47" s="2" t="s">
        <v>212</v>
      </c>
      <c r="B47" s="2" t="s">
        <v>202</v>
      </c>
      <c r="C47" s="2" t="s">
        <v>213</v>
      </c>
      <c r="D47" s="2" t="s">
        <v>214</v>
      </c>
      <c r="E47" s="2">
        <v>47.8</v>
      </c>
      <c r="F47" s="2">
        <v>46</v>
      </c>
      <c r="G47" s="2">
        <v>2</v>
      </c>
      <c r="H47" s="2">
        <v>6.9</v>
      </c>
      <c r="I47" s="2">
        <v>1</v>
      </c>
      <c r="J47" s="2">
        <v>947330</v>
      </c>
      <c r="K47" s="2">
        <v>19.809999999999999</v>
      </c>
      <c r="L47" s="2">
        <v>0</v>
      </c>
      <c r="M47" s="2" t="s">
        <v>138</v>
      </c>
      <c r="N47" s="2">
        <v>15</v>
      </c>
      <c r="O47" s="2" t="s">
        <v>42</v>
      </c>
      <c r="P47" s="2">
        <v>1.79</v>
      </c>
      <c r="Q47" s="2">
        <v>5.69</v>
      </c>
      <c r="R47" s="2" t="s">
        <v>205</v>
      </c>
      <c r="S47" s="2">
        <v>15.03</v>
      </c>
      <c r="T47" s="2" t="s">
        <v>69</v>
      </c>
      <c r="U47" s="2">
        <v>60160</v>
      </c>
      <c r="V47" s="2">
        <v>330</v>
      </c>
      <c r="W47" s="2">
        <v>38252</v>
      </c>
      <c r="X47" s="2">
        <v>7820800</v>
      </c>
      <c r="Y47" s="2">
        <v>25.58</v>
      </c>
      <c r="Z47" s="2">
        <v>15</v>
      </c>
      <c r="AA47" s="2" t="s">
        <v>70</v>
      </c>
      <c r="AB47" s="2" t="s">
        <v>37</v>
      </c>
    </row>
    <row r="48" spans="1:28" ht="41.4">
      <c r="A48" s="2" t="s">
        <v>215</v>
      </c>
      <c r="B48" s="2" t="s">
        <v>96</v>
      </c>
      <c r="C48" s="2" t="s">
        <v>216</v>
      </c>
      <c r="D48" s="2" t="s">
        <v>217</v>
      </c>
      <c r="E48" s="2">
        <v>47.8</v>
      </c>
      <c r="F48" s="2">
        <v>47</v>
      </c>
      <c r="G48" s="2">
        <v>55</v>
      </c>
      <c r="H48" s="2">
        <v>1.82</v>
      </c>
      <c r="I48" s="2">
        <v>1</v>
      </c>
      <c r="J48" s="2">
        <v>16979</v>
      </c>
      <c r="K48" s="2">
        <v>3</v>
      </c>
      <c r="L48" s="2">
        <v>20</v>
      </c>
      <c r="M48" s="2" t="s">
        <v>32</v>
      </c>
      <c r="N48" s="2">
        <v>6</v>
      </c>
      <c r="O48" s="2" t="s">
        <v>200</v>
      </c>
      <c r="P48" s="2">
        <v>19.739999999999998</v>
      </c>
      <c r="Q48" s="2">
        <v>0</v>
      </c>
      <c r="R48" s="2" t="s">
        <v>99</v>
      </c>
      <c r="S48" s="2">
        <v>8.5299999999999994</v>
      </c>
      <c r="T48" s="2" t="s">
        <v>69</v>
      </c>
      <c r="U48" s="2">
        <v>107115</v>
      </c>
      <c r="V48" s="2">
        <v>518</v>
      </c>
      <c r="W48" s="2"/>
      <c r="X48" s="2">
        <v>13389375</v>
      </c>
      <c r="Y48" s="2"/>
      <c r="Z48" s="2"/>
      <c r="AA48" s="2" t="s">
        <v>70</v>
      </c>
      <c r="AB48" s="2" t="s">
        <v>37</v>
      </c>
    </row>
    <row r="49" spans="1:28" ht="41.4">
      <c r="A49" s="2" t="s">
        <v>218</v>
      </c>
      <c r="B49" s="2" t="s">
        <v>219</v>
      </c>
      <c r="C49" s="2" t="s">
        <v>220</v>
      </c>
      <c r="D49" s="2" t="s">
        <v>221</v>
      </c>
      <c r="E49" s="2">
        <v>47.5</v>
      </c>
      <c r="F49" s="2">
        <v>48</v>
      </c>
      <c r="G49" s="2">
        <v>8</v>
      </c>
      <c r="H49" s="2">
        <v>4.07</v>
      </c>
      <c r="I49" s="2">
        <v>1</v>
      </c>
      <c r="J49" s="2">
        <v>561730</v>
      </c>
      <c r="K49" s="2">
        <v>10.45</v>
      </c>
      <c r="L49" s="2">
        <v>5</v>
      </c>
      <c r="M49" s="2" t="s">
        <v>190</v>
      </c>
      <c r="N49" s="2">
        <v>6</v>
      </c>
      <c r="O49" s="2" t="s">
        <v>52</v>
      </c>
      <c r="P49" s="2">
        <v>9.23</v>
      </c>
      <c r="Q49" s="2">
        <v>8.19</v>
      </c>
      <c r="R49" s="2" t="s">
        <v>86</v>
      </c>
      <c r="S49" s="2">
        <v>18.09</v>
      </c>
      <c r="T49" s="2" t="s">
        <v>35</v>
      </c>
      <c r="U49" s="2">
        <v>34855</v>
      </c>
      <c r="V49" s="2">
        <v>200</v>
      </c>
      <c r="W49" s="2">
        <v>22048</v>
      </c>
      <c r="X49" s="2">
        <v>4461440</v>
      </c>
      <c r="Y49" s="2">
        <v>21.71</v>
      </c>
      <c r="Z49" s="2">
        <v>14</v>
      </c>
      <c r="AA49" s="2" t="s">
        <v>222</v>
      </c>
      <c r="AB49" s="2" t="s">
        <v>37</v>
      </c>
    </row>
    <row r="50" spans="1:28" ht="41.4">
      <c r="A50" s="2" t="s">
        <v>223</v>
      </c>
      <c r="B50" s="2" t="s">
        <v>96</v>
      </c>
      <c r="C50" s="2" t="s">
        <v>224</v>
      </c>
      <c r="D50" s="2" t="s">
        <v>225</v>
      </c>
      <c r="E50" s="2">
        <v>47.4</v>
      </c>
      <c r="F50" s="2">
        <v>49</v>
      </c>
      <c r="G50" s="2">
        <v>54</v>
      </c>
      <c r="H50" s="2">
        <v>1.84</v>
      </c>
      <c r="I50" s="2">
        <v>1</v>
      </c>
      <c r="J50" s="2">
        <v>420706</v>
      </c>
      <c r="K50" s="2">
        <v>3.06</v>
      </c>
      <c r="L50" s="2">
        <v>20</v>
      </c>
      <c r="M50" s="2" t="s">
        <v>32</v>
      </c>
      <c r="N50" s="2">
        <v>8</v>
      </c>
      <c r="O50" s="2" t="s">
        <v>52</v>
      </c>
      <c r="P50" s="2">
        <v>11.95</v>
      </c>
      <c r="Q50" s="2">
        <v>0</v>
      </c>
      <c r="R50" s="2" t="s">
        <v>99</v>
      </c>
      <c r="S50" s="2">
        <v>13.79</v>
      </c>
      <c r="T50" s="2" t="s">
        <v>69</v>
      </c>
      <c r="U50" s="2">
        <v>70810</v>
      </c>
      <c r="V50" s="2">
        <v>423</v>
      </c>
      <c r="W50" s="2">
        <v>41061</v>
      </c>
      <c r="X50" s="2">
        <v>7930720</v>
      </c>
      <c r="Y50" s="2">
        <v>36.6</v>
      </c>
      <c r="Z50" s="2">
        <v>14</v>
      </c>
      <c r="AA50" s="2" t="s">
        <v>70</v>
      </c>
      <c r="AB50" s="2" t="s">
        <v>37</v>
      </c>
    </row>
    <row r="51" spans="1:28" ht="41.4">
      <c r="A51" s="2" t="s">
        <v>226</v>
      </c>
      <c r="B51" s="2" t="s">
        <v>96</v>
      </c>
      <c r="C51" s="2" t="s">
        <v>227</v>
      </c>
      <c r="D51" s="2" t="s">
        <v>228</v>
      </c>
      <c r="E51" s="2">
        <v>47.2</v>
      </c>
      <c r="F51" s="2">
        <v>50</v>
      </c>
      <c r="G51" s="2">
        <v>16</v>
      </c>
      <c r="H51" s="2">
        <v>3.04</v>
      </c>
      <c r="I51" s="2">
        <v>1</v>
      </c>
      <c r="J51" s="2">
        <v>512981</v>
      </c>
      <c r="K51" s="2">
        <v>7.05</v>
      </c>
      <c r="L51" s="2">
        <v>20</v>
      </c>
      <c r="M51" s="2" t="s">
        <v>32</v>
      </c>
      <c r="N51" s="2">
        <v>8</v>
      </c>
      <c r="O51" s="2" t="s">
        <v>52</v>
      </c>
      <c r="P51" s="2">
        <v>10.17</v>
      </c>
      <c r="Q51" s="2">
        <v>0</v>
      </c>
      <c r="R51" s="2" t="s">
        <v>99</v>
      </c>
      <c r="S51" s="2">
        <v>11.34</v>
      </c>
      <c r="T51" s="2" t="s">
        <v>69</v>
      </c>
      <c r="U51" s="2">
        <v>105582</v>
      </c>
      <c r="V51" s="2">
        <v>434</v>
      </c>
      <c r="W51" s="2">
        <v>43860</v>
      </c>
      <c r="X51" s="2">
        <v>12353094</v>
      </c>
      <c r="Y51" s="2">
        <v>33.56</v>
      </c>
      <c r="Z51" s="2">
        <v>20</v>
      </c>
      <c r="AA51" s="2" t="s">
        <v>70</v>
      </c>
      <c r="AB51" s="2" t="s">
        <v>37</v>
      </c>
    </row>
    <row r="52" spans="1:28" ht="41.4">
      <c r="A52" s="2" t="s">
        <v>229</v>
      </c>
      <c r="B52" s="2" t="s">
        <v>96</v>
      </c>
      <c r="C52" s="2" t="s">
        <v>230</v>
      </c>
      <c r="D52" s="2" t="s">
        <v>231</v>
      </c>
      <c r="E52" s="2">
        <v>47.2</v>
      </c>
      <c r="F52" s="2">
        <v>51</v>
      </c>
      <c r="G52" s="2">
        <v>20</v>
      </c>
      <c r="H52" s="2">
        <v>2.69</v>
      </c>
      <c r="I52" s="2">
        <v>1</v>
      </c>
      <c r="J52" s="2">
        <v>524921</v>
      </c>
      <c r="K52" s="2">
        <v>5.86</v>
      </c>
      <c r="L52" s="2">
        <v>20</v>
      </c>
      <c r="M52" s="2" t="s">
        <v>32</v>
      </c>
      <c r="N52" s="2">
        <v>8</v>
      </c>
      <c r="O52" s="2" t="s">
        <v>52</v>
      </c>
      <c r="P52" s="2">
        <v>9.94</v>
      </c>
      <c r="Q52" s="2">
        <v>0</v>
      </c>
      <c r="R52" s="2" t="s">
        <v>99</v>
      </c>
      <c r="S52" s="2">
        <v>12.77</v>
      </c>
      <c r="T52" s="2" t="s">
        <v>69</v>
      </c>
      <c r="U52" s="2">
        <v>87972</v>
      </c>
      <c r="V52" s="2">
        <v>451</v>
      </c>
      <c r="W52" s="2">
        <v>40601</v>
      </c>
      <c r="X52" s="2">
        <v>8797200</v>
      </c>
      <c r="Y52" s="2">
        <v>38.29</v>
      </c>
      <c r="Z52" s="2">
        <v>16</v>
      </c>
      <c r="AA52" s="2" t="s">
        <v>70</v>
      </c>
      <c r="AB52" s="2" t="s">
        <v>37</v>
      </c>
    </row>
    <row r="53" spans="1:28" ht="41.4">
      <c r="A53" s="2" t="s">
        <v>232</v>
      </c>
      <c r="B53" s="2" t="s">
        <v>96</v>
      </c>
      <c r="C53" s="2" t="s">
        <v>233</v>
      </c>
      <c r="D53" s="2" t="s">
        <v>234</v>
      </c>
      <c r="E53" s="2">
        <v>47.2</v>
      </c>
      <c r="F53" s="2">
        <v>52</v>
      </c>
      <c r="G53" s="2">
        <v>35</v>
      </c>
      <c r="H53" s="2">
        <v>2.3199999999999998</v>
      </c>
      <c r="I53" s="2">
        <v>1</v>
      </c>
      <c r="J53" s="2">
        <v>475859</v>
      </c>
      <c r="K53" s="2">
        <v>4.66</v>
      </c>
      <c r="L53" s="2">
        <v>20</v>
      </c>
      <c r="M53" s="2" t="s">
        <v>32</v>
      </c>
      <c r="N53" s="2">
        <v>8</v>
      </c>
      <c r="O53" s="2" t="s">
        <v>52</v>
      </c>
      <c r="P53" s="2">
        <v>10.89</v>
      </c>
      <c r="Q53" s="2">
        <v>0</v>
      </c>
      <c r="R53" s="2" t="s">
        <v>99</v>
      </c>
      <c r="S53" s="2">
        <v>13.05</v>
      </c>
      <c r="T53" s="2" t="s">
        <v>69</v>
      </c>
      <c r="U53" s="2">
        <v>76243</v>
      </c>
      <c r="V53" s="2">
        <v>424</v>
      </c>
      <c r="W53" s="2">
        <v>42423</v>
      </c>
      <c r="X53" s="2">
        <v>8310487</v>
      </c>
      <c r="Y53" s="2">
        <v>45.16</v>
      </c>
      <c r="Z53" s="2">
        <v>15</v>
      </c>
      <c r="AA53" s="2" t="s">
        <v>70</v>
      </c>
      <c r="AB53" s="2" t="s">
        <v>37</v>
      </c>
    </row>
    <row r="54" spans="1:28" ht="41.4">
      <c r="A54" s="2" t="s">
        <v>235</v>
      </c>
      <c r="B54" s="2" t="s">
        <v>202</v>
      </c>
      <c r="C54" s="2" t="s">
        <v>236</v>
      </c>
      <c r="D54" s="2" t="s">
        <v>237</v>
      </c>
      <c r="E54" s="2">
        <v>47.1</v>
      </c>
      <c r="F54" s="2">
        <v>53</v>
      </c>
      <c r="G54" s="2">
        <v>22</v>
      </c>
      <c r="H54" s="2">
        <v>2.5299999999999998</v>
      </c>
      <c r="I54" s="2">
        <v>1</v>
      </c>
      <c r="J54" s="2">
        <v>414893</v>
      </c>
      <c r="K54" s="2">
        <v>5.34</v>
      </c>
      <c r="L54" s="2">
        <v>0</v>
      </c>
      <c r="M54" s="2" t="s">
        <v>138</v>
      </c>
      <c r="N54" s="2">
        <v>15</v>
      </c>
      <c r="O54" s="2" t="s">
        <v>42</v>
      </c>
      <c r="P54" s="2">
        <v>12.06</v>
      </c>
      <c r="Q54" s="2">
        <v>5.69</v>
      </c>
      <c r="R54" s="2" t="s">
        <v>205</v>
      </c>
      <c r="S54" s="2">
        <v>18.45</v>
      </c>
      <c r="T54" s="2" t="s">
        <v>69</v>
      </c>
      <c r="U54" s="2">
        <v>30826</v>
      </c>
      <c r="V54" s="2">
        <v>194</v>
      </c>
      <c r="W54" s="2"/>
      <c r="X54" s="2">
        <v>4007380</v>
      </c>
      <c r="Y54" s="2"/>
      <c r="Z54" s="2"/>
      <c r="AA54" s="2" t="s">
        <v>70</v>
      </c>
      <c r="AB54" s="2" t="s">
        <v>37</v>
      </c>
    </row>
    <row r="55" spans="1:28" ht="41.4">
      <c r="A55" s="2" t="s">
        <v>238</v>
      </c>
      <c r="B55" s="2" t="s">
        <v>239</v>
      </c>
      <c r="C55" s="2" t="s">
        <v>240</v>
      </c>
      <c r="D55" s="2" t="s">
        <v>241</v>
      </c>
      <c r="E55" s="2">
        <v>46.9</v>
      </c>
      <c r="F55" s="2">
        <v>54</v>
      </c>
      <c r="G55" s="2">
        <v>71</v>
      </c>
      <c r="H55" s="2">
        <v>1.56</v>
      </c>
      <c r="I55" s="2">
        <v>2</v>
      </c>
      <c r="J55" s="2">
        <v>416124</v>
      </c>
      <c r="K55" s="2">
        <v>2.13</v>
      </c>
      <c r="L55" s="2">
        <v>0</v>
      </c>
      <c r="M55" s="2" t="s">
        <v>138</v>
      </c>
      <c r="N55" s="2">
        <v>13</v>
      </c>
      <c r="O55" s="2" t="s">
        <v>75</v>
      </c>
      <c r="P55" s="2">
        <v>12.04</v>
      </c>
      <c r="Q55" s="2">
        <v>10.32</v>
      </c>
      <c r="R55" s="2" t="s">
        <v>157</v>
      </c>
      <c r="S55" s="2">
        <v>18.77</v>
      </c>
      <c r="T55" s="2" t="s">
        <v>35</v>
      </c>
      <c r="U55" s="2">
        <v>22384</v>
      </c>
      <c r="V55" s="2">
        <v>122</v>
      </c>
      <c r="W55" s="2">
        <v>17288</v>
      </c>
      <c r="X55" s="2">
        <v>3491904</v>
      </c>
      <c r="Y55" s="2">
        <v>30.14</v>
      </c>
      <c r="Z55" s="2">
        <v>15</v>
      </c>
      <c r="AA55" s="2" t="s">
        <v>242</v>
      </c>
      <c r="AB55" s="2" t="s">
        <v>37</v>
      </c>
    </row>
    <row r="56" spans="1:28" ht="41.4">
      <c r="A56" s="2" t="s">
        <v>243</v>
      </c>
      <c r="B56" s="2" t="s">
        <v>96</v>
      </c>
      <c r="C56" s="2" t="s">
        <v>244</v>
      </c>
      <c r="D56" s="2" t="s">
        <v>245</v>
      </c>
      <c r="E56" s="2">
        <v>46.3</v>
      </c>
      <c r="F56" s="2">
        <v>55</v>
      </c>
      <c r="G56" s="2">
        <v>14</v>
      </c>
      <c r="H56" s="2">
        <v>3.25</v>
      </c>
      <c r="I56" s="2">
        <v>1</v>
      </c>
      <c r="J56" s="2">
        <v>342582</v>
      </c>
      <c r="K56" s="2">
        <v>7.73</v>
      </c>
      <c r="L56" s="2">
        <v>20</v>
      </c>
      <c r="M56" s="2" t="s">
        <v>32</v>
      </c>
      <c r="N56" s="2">
        <v>8</v>
      </c>
      <c r="O56" s="2" t="s">
        <v>52</v>
      </c>
      <c r="P56" s="2">
        <v>13.46</v>
      </c>
      <c r="Q56" s="2">
        <v>0</v>
      </c>
      <c r="R56" s="2" t="s">
        <v>99</v>
      </c>
      <c r="S56" s="2">
        <v>6.33</v>
      </c>
      <c r="T56" s="2" t="s">
        <v>69</v>
      </c>
      <c r="U56" s="2">
        <v>148699</v>
      </c>
      <c r="V56" s="2">
        <v>602</v>
      </c>
      <c r="W56" s="2">
        <v>74033</v>
      </c>
      <c r="X56" s="2">
        <v>22304850</v>
      </c>
      <c r="Y56" s="2">
        <v>26.67</v>
      </c>
      <c r="Z56" s="2">
        <v>21</v>
      </c>
      <c r="AA56" s="2" t="s">
        <v>70</v>
      </c>
      <c r="AB56" s="2" t="s">
        <v>37</v>
      </c>
    </row>
    <row r="57" spans="1:28" ht="41.4">
      <c r="A57" s="2" t="s">
        <v>246</v>
      </c>
      <c r="B57" s="2" t="s">
        <v>202</v>
      </c>
      <c r="C57" s="2" t="s">
        <v>247</v>
      </c>
      <c r="D57" s="2" t="s">
        <v>248</v>
      </c>
      <c r="E57" s="2">
        <v>46.3</v>
      </c>
      <c r="F57" s="2">
        <v>56</v>
      </c>
      <c r="G57" s="2">
        <v>57</v>
      </c>
      <c r="H57" s="2">
        <v>1.79</v>
      </c>
      <c r="I57" s="2">
        <v>1</v>
      </c>
      <c r="J57" s="2">
        <v>165201</v>
      </c>
      <c r="K57" s="2">
        <v>2.9</v>
      </c>
      <c r="L57" s="2">
        <v>0</v>
      </c>
      <c r="M57" s="2" t="s">
        <v>138</v>
      </c>
      <c r="N57" s="2">
        <v>15</v>
      </c>
      <c r="O57" s="2" t="s">
        <v>42</v>
      </c>
      <c r="P57" s="2">
        <v>16.88</v>
      </c>
      <c r="Q57" s="2">
        <v>5.69</v>
      </c>
      <c r="R57" s="2" t="s">
        <v>205</v>
      </c>
      <c r="S57" s="2">
        <v>15.06</v>
      </c>
      <c r="T57" s="2" t="s">
        <v>69</v>
      </c>
      <c r="U57" s="2">
        <v>69322</v>
      </c>
      <c r="V57" s="2">
        <v>377</v>
      </c>
      <c r="W57" s="2">
        <v>31329</v>
      </c>
      <c r="X57" s="2">
        <v>7556098</v>
      </c>
      <c r="Y57" s="2">
        <v>23.7</v>
      </c>
      <c r="Z57" s="2">
        <v>15</v>
      </c>
      <c r="AA57" s="2" t="s">
        <v>70</v>
      </c>
      <c r="AB57" s="2" t="s">
        <v>37</v>
      </c>
    </row>
    <row r="58" spans="1:28" ht="41.4">
      <c r="A58" s="2" t="s">
        <v>249</v>
      </c>
      <c r="B58" s="2" t="s">
        <v>96</v>
      </c>
      <c r="C58" s="2" t="s">
        <v>250</v>
      </c>
      <c r="D58" s="2" t="s">
        <v>251</v>
      </c>
      <c r="E58" s="2">
        <v>45.9</v>
      </c>
      <c r="F58" s="2">
        <v>57</v>
      </c>
      <c r="G58" s="2">
        <v>66</v>
      </c>
      <c r="H58" s="2">
        <v>1.64</v>
      </c>
      <c r="I58" s="2">
        <v>1</v>
      </c>
      <c r="J58" s="2">
        <v>440934</v>
      </c>
      <c r="K58" s="2">
        <v>2.4</v>
      </c>
      <c r="L58" s="2">
        <v>20</v>
      </c>
      <c r="M58" s="2" t="s">
        <v>32</v>
      </c>
      <c r="N58" s="2">
        <v>6</v>
      </c>
      <c r="O58" s="2" t="s">
        <v>200</v>
      </c>
      <c r="P58" s="2">
        <v>11.56</v>
      </c>
      <c r="Q58" s="2">
        <v>0</v>
      </c>
      <c r="R58" s="2" t="s">
        <v>99</v>
      </c>
      <c r="S58" s="2">
        <v>15.17</v>
      </c>
      <c r="T58" s="2" t="s">
        <v>69</v>
      </c>
      <c r="U58" s="2">
        <v>49792</v>
      </c>
      <c r="V58" s="2">
        <v>318</v>
      </c>
      <c r="W58" s="2">
        <v>33115</v>
      </c>
      <c r="X58" s="2">
        <v>5775872</v>
      </c>
      <c r="Y58" s="2">
        <v>53.35</v>
      </c>
      <c r="Z58" s="2">
        <v>13</v>
      </c>
      <c r="AA58" s="2" t="s">
        <v>70</v>
      </c>
      <c r="AB58" s="2" t="s">
        <v>37</v>
      </c>
    </row>
    <row r="59" spans="1:28" ht="41.4">
      <c r="A59" s="2" t="s">
        <v>252</v>
      </c>
      <c r="B59" s="2" t="s">
        <v>202</v>
      </c>
      <c r="C59" s="2" t="s">
        <v>253</v>
      </c>
      <c r="D59" s="2" t="s">
        <v>254</v>
      </c>
      <c r="E59" s="2">
        <v>45.7</v>
      </c>
      <c r="F59" s="2">
        <v>58</v>
      </c>
      <c r="G59" s="2">
        <v>5</v>
      </c>
      <c r="H59" s="2">
        <v>4.4800000000000004</v>
      </c>
      <c r="I59" s="2">
        <v>1</v>
      </c>
      <c r="J59" s="2">
        <v>714866</v>
      </c>
      <c r="K59" s="2">
        <v>11.8</v>
      </c>
      <c r="L59" s="2">
        <v>0</v>
      </c>
      <c r="M59" s="2" t="s">
        <v>138</v>
      </c>
      <c r="N59" s="2">
        <v>15</v>
      </c>
      <c r="O59" s="2" t="s">
        <v>42</v>
      </c>
      <c r="P59" s="2">
        <v>6.28</v>
      </c>
      <c r="Q59" s="2">
        <v>5.69</v>
      </c>
      <c r="R59" s="2" t="s">
        <v>205</v>
      </c>
      <c r="S59" s="2">
        <v>16.04</v>
      </c>
      <c r="T59" s="2" t="s">
        <v>69</v>
      </c>
      <c r="U59" s="2">
        <v>47726</v>
      </c>
      <c r="V59" s="2">
        <v>272</v>
      </c>
      <c r="W59" s="2">
        <v>31802</v>
      </c>
      <c r="X59" s="2">
        <v>6681640</v>
      </c>
      <c r="Y59" s="2">
        <v>29.6</v>
      </c>
      <c r="Z59" s="2">
        <v>15</v>
      </c>
      <c r="AA59" s="2" t="s">
        <v>70</v>
      </c>
      <c r="AB59" s="2" t="s">
        <v>37</v>
      </c>
    </row>
    <row r="60" spans="1:28" ht="41.4">
      <c r="A60" s="2" t="s">
        <v>255</v>
      </c>
      <c r="B60" s="2" t="s">
        <v>96</v>
      </c>
      <c r="C60" s="2" t="s">
        <v>256</v>
      </c>
      <c r="D60" s="2" t="s">
        <v>257</v>
      </c>
      <c r="E60" s="2">
        <v>45.6</v>
      </c>
      <c r="F60" s="2">
        <v>59</v>
      </c>
      <c r="G60" s="2">
        <v>36</v>
      </c>
      <c r="H60" s="2">
        <v>2.27</v>
      </c>
      <c r="I60" s="2">
        <v>1</v>
      </c>
      <c r="J60" s="2">
        <v>268303</v>
      </c>
      <c r="K60" s="2">
        <v>4.47</v>
      </c>
      <c r="L60" s="2">
        <v>12</v>
      </c>
      <c r="M60" s="2" t="s">
        <v>121</v>
      </c>
      <c r="N60" s="2">
        <v>8</v>
      </c>
      <c r="O60" s="2" t="s">
        <v>52</v>
      </c>
      <c r="P60" s="2">
        <v>14.89</v>
      </c>
      <c r="Q60" s="2">
        <v>0</v>
      </c>
      <c r="R60" s="2" t="s">
        <v>99</v>
      </c>
      <c r="S60" s="2">
        <v>15.34</v>
      </c>
      <c r="T60" s="2" t="s">
        <v>69</v>
      </c>
      <c r="U60" s="2">
        <v>58028</v>
      </c>
      <c r="V60" s="2">
        <v>336</v>
      </c>
      <c r="W60" s="2">
        <v>31284</v>
      </c>
      <c r="X60" s="2">
        <v>6150968</v>
      </c>
      <c r="Y60" s="2">
        <v>38.590000000000003</v>
      </c>
      <c r="Z60" s="2">
        <v>14</v>
      </c>
      <c r="AA60" s="2" t="s">
        <v>70</v>
      </c>
      <c r="AB60" s="2" t="s">
        <v>37</v>
      </c>
    </row>
    <row r="61" spans="1:28" ht="41.4">
      <c r="A61" s="2" t="s">
        <v>258</v>
      </c>
      <c r="B61" s="2" t="s">
        <v>259</v>
      </c>
      <c r="C61" s="2" t="s">
        <v>260</v>
      </c>
      <c r="D61" s="2" t="s">
        <v>261</v>
      </c>
      <c r="E61" s="2">
        <v>45.6</v>
      </c>
      <c r="F61" s="2">
        <v>60</v>
      </c>
      <c r="G61" s="2">
        <v>82</v>
      </c>
      <c r="H61" s="2">
        <v>1.48</v>
      </c>
      <c r="I61" s="2">
        <v>2</v>
      </c>
      <c r="J61" s="2">
        <v>385432</v>
      </c>
      <c r="K61" s="2">
        <v>1.88</v>
      </c>
      <c r="L61" s="2">
        <v>0</v>
      </c>
      <c r="M61" s="2" t="s">
        <v>138</v>
      </c>
      <c r="N61" s="2">
        <v>16</v>
      </c>
      <c r="O61" s="2" t="s">
        <v>33</v>
      </c>
      <c r="P61" s="2">
        <v>12.63</v>
      </c>
      <c r="Q61" s="2">
        <v>5.69</v>
      </c>
      <c r="R61" s="2" t="s">
        <v>205</v>
      </c>
      <c r="S61" s="2">
        <v>18.53</v>
      </c>
      <c r="T61" s="2" t="s">
        <v>35</v>
      </c>
      <c r="U61" s="2">
        <v>28842</v>
      </c>
      <c r="V61" s="2">
        <v>166</v>
      </c>
      <c r="W61" s="2">
        <v>21807</v>
      </c>
      <c r="X61" s="2">
        <v>4355142</v>
      </c>
      <c r="Y61" s="2">
        <v>19.940000000000001</v>
      </c>
      <c r="Z61" s="2">
        <v>14</v>
      </c>
      <c r="AA61" s="2" t="s">
        <v>262</v>
      </c>
      <c r="AB61" s="2" t="s">
        <v>37</v>
      </c>
    </row>
    <row r="62" spans="1:28" ht="41.4">
      <c r="A62" s="2" t="s">
        <v>263</v>
      </c>
      <c r="B62" s="2" t="s">
        <v>239</v>
      </c>
      <c r="C62" s="2" t="s">
        <v>264</v>
      </c>
      <c r="D62" s="2" t="s">
        <v>265</v>
      </c>
      <c r="E62" s="2">
        <v>45.3</v>
      </c>
      <c r="F62" s="2">
        <v>61</v>
      </c>
      <c r="G62" s="2">
        <v>46</v>
      </c>
      <c r="H62" s="2">
        <v>1.98</v>
      </c>
      <c r="I62" s="2">
        <v>1</v>
      </c>
      <c r="J62" s="2">
        <v>589989</v>
      </c>
      <c r="K62" s="2">
        <v>3.54</v>
      </c>
      <c r="L62" s="2">
        <v>0</v>
      </c>
      <c r="M62" s="2" t="s">
        <v>138</v>
      </c>
      <c r="N62" s="2">
        <v>13</v>
      </c>
      <c r="O62" s="2" t="s">
        <v>75</v>
      </c>
      <c r="P62" s="2">
        <v>8.68</v>
      </c>
      <c r="Q62" s="2">
        <v>10.32</v>
      </c>
      <c r="R62" s="2" t="s">
        <v>157</v>
      </c>
      <c r="S62" s="2">
        <v>18.77</v>
      </c>
      <c r="T62" s="2" t="s">
        <v>35</v>
      </c>
      <c r="U62" s="2">
        <v>22384</v>
      </c>
      <c r="V62" s="2">
        <v>122</v>
      </c>
      <c r="W62" s="2">
        <v>17288</v>
      </c>
      <c r="X62" s="2">
        <v>3491904</v>
      </c>
      <c r="Y62" s="2">
        <v>30.14</v>
      </c>
      <c r="Z62" s="2">
        <v>15</v>
      </c>
      <c r="AA62" s="2" t="s">
        <v>242</v>
      </c>
      <c r="AB62" s="2" t="s">
        <v>37</v>
      </c>
    </row>
    <row r="63" spans="1:28" ht="41.4">
      <c r="A63" s="2" t="s">
        <v>266</v>
      </c>
      <c r="B63" s="2" t="s">
        <v>96</v>
      </c>
      <c r="C63" s="2" t="s">
        <v>267</v>
      </c>
      <c r="D63" s="2" t="s">
        <v>268</v>
      </c>
      <c r="E63" s="2">
        <v>45.1</v>
      </c>
      <c r="F63" s="2">
        <v>62</v>
      </c>
      <c r="G63" s="2">
        <v>29</v>
      </c>
      <c r="H63" s="2">
        <v>2.38</v>
      </c>
      <c r="I63" s="2">
        <v>1</v>
      </c>
      <c r="J63" s="2">
        <v>278344</v>
      </c>
      <c r="K63" s="2">
        <v>4.8600000000000003</v>
      </c>
      <c r="L63" s="2">
        <v>20</v>
      </c>
      <c r="M63" s="2" t="s">
        <v>32</v>
      </c>
      <c r="N63" s="2">
        <v>6</v>
      </c>
      <c r="O63" s="2" t="s">
        <v>200</v>
      </c>
      <c r="P63" s="2">
        <v>14.7</v>
      </c>
      <c r="Q63" s="2">
        <v>0</v>
      </c>
      <c r="R63" s="2" t="s">
        <v>99</v>
      </c>
      <c r="S63" s="2">
        <v>8.51</v>
      </c>
      <c r="T63" s="2" t="s">
        <v>69</v>
      </c>
      <c r="U63" s="2">
        <v>86346</v>
      </c>
      <c r="V63" s="2">
        <v>624</v>
      </c>
      <c r="W63" s="2">
        <v>63012</v>
      </c>
      <c r="X63" s="2">
        <v>8979984</v>
      </c>
      <c r="Y63" s="2">
        <v>105.13</v>
      </c>
      <c r="Z63" s="2">
        <v>12</v>
      </c>
      <c r="AA63" s="2" t="s">
        <v>70</v>
      </c>
      <c r="AB63" s="2" t="s">
        <v>37</v>
      </c>
    </row>
    <row r="64" spans="1:28" ht="41.4">
      <c r="A64" s="2" t="s">
        <v>269</v>
      </c>
      <c r="B64" s="2" t="s">
        <v>96</v>
      </c>
      <c r="C64" s="2" t="s">
        <v>270</v>
      </c>
      <c r="D64" s="2" t="s">
        <v>271</v>
      </c>
      <c r="E64" s="2">
        <v>44.8</v>
      </c>
      <c r="F64" s="2">
        <v>63</v>
      </c>
      <c r="G64" s="2">
        <v>24</v>
      </c>
      <c r="H64" s="2">
        <v>2.48</v>
      </c>
      <c r="I64" s="2">
        <v>1</v>
      </c>
      <c r="J64" s="2">
        <v>749356</v>
      </c>
      <c r="K64" s="2">
        <v>5.2</v>
      </c>
      <c r="L64" s="2">
        <v>20</v>
      </c>
      <c r="M64" s="2" t="s">
        <v>32</v>
      </c>
      <c r="N64" s="2">
        <v>8</v>
      </c>
      <c r="O64" s="2" t="s">
        <v>52</v>
      </c>
      <c r="P64" s="2">
        <v>5.61</v>
      </c>
      <c r="Q64" s="2">
        <v>0</v>
      </c>
      <c r="R64" s="2" t="s">
        <v>99</v>
      </c>
      <c r="S64" s="2">
        <v>14.88</v>
      </c>
      <c r="T64" s="2" t="s">
        <v>69</v>
      </c>
      <c r="U64" s="2">
        <v>64505</v>
      </c>
      <c r="V64" s="2">
        <v>339</v>
      </c>
      <c r="W64" s="2">
        <v>33562</v>
      </c>
      <c r="X64" s="2">
        <v>6902035</v>
      </c>
      <c r="Y64" s="2">
        <v>31.86</v>
      </c>
      <c r="Z64" s="2">
        <v>16</v>
      </c>
      <c r="AA64" s="2" t="s">
        <v>70</v>
      </c>
      <c r="AB64" s="2" t="s">
        <v>37</v>
      </c>
    </row>
    <row r="65" spans="1:28" ht="41.4">
      <c r="A65" s="2" t="s">
        <v>272</v>
      </c>
      <c r="B65" s="2" t="s">
        <v>112</v>
      </c>
      <c r="C65" s="2" t="s">
        <v>273</v>
      </c>
      <c r="D65" s="2" t="s">
        <v>274</v>
      </c>
      <c r="E65" s="2">
        <v>44.8</v>
      </c>
      <c r="F65" s="2">
        <v>64</v>
      </c>
      <c r="G65" s="2">
        <v>72</v>
      </c>
      <c r="H65" s="2">
        <v>1.55</v>
      </c>
      <c r="I65" s="2">
        <v>2</v>
      </c>
      <c r="J65" s="2">
        <v>124825</v>
      </c>
      <c r="K65" s="2">
        <v>2.12</v>
      </c>
      <c r="L65" s="2">
        <v>5</v>
      </c>
      <c r="M65" s="2" t="s">
        <v>190</v>
      </c>
      <c r="N65" s="2">
        <v>10</v>
      </c>
      <c r="O65" s="2" t="s">
        <v>59</v>
      </c>
      <c r="P65" s="2">
        <v>17.66</v>
      </c>
      <c r="Q65" s="2">
        <v>4.6500000000000004</v>
      </c>
      <c r="R65" s="2" t="s">
        <v>68</v>
      </c>
      <c r="S65" s="2">
        <v>14.35</v>
      </c>
      <c r="T65" s="2" t="s">
        <v>275</v>
      </c>
      <c r="U65" s="2">
        <v>60047</v>
      </c>
      <c r="V65" s="2">
        <v>353</v>
      </c>
      <c r="W65" s="2">
        <v>36698</v>
      </c>
      <c r="X65" s="2">
        <v>7746063</v>
      </c>
      <c r="Y65" s="2">
        <v>25.85</v>
      </c>
      <c r="Z65" s="2">
        <v>19</v>
      </c>
      <c r="AA65" s="2" t="s">
        <v>70</v>
      </c>
      <c r="AB65" s="2" t="s">
        <v>37</v>
      </c>
    </row>
    <row r="66" spans="1:28" ht="41.4">
      <c r="A66" s="2" t="s">
        <v>276</v>
      </c>
      <c r="B66" s="2" t="s">
        <v>89</v>
      </c>
      <c r="C66" s="2" t="s">
        <v>277</v>
      </c>
      <c r="D66" s="2" t="s">
        <v>278</v>
      </c>
      <c r="E66" s="2">
        <v>44.8</v>
      </c>
      <c r="F66" s="2">
        <v>65</v>
      </c>
      <c r="G66" s="2">
        <v>88</v>
      </c>
      <c r="H66" s="2">
        <v>1.39</v>
      </c>
      <c r="I66" s="2">
        <v>2</v>
      </c>
      <c r="J66" s="2">
        <v>629479</v>
      </c>
      <c r="K66" s="2">
        <v>1.58</v>
      </c>
      <c r="L66" s="2">
        <v>12</v>
      </c>
      <c r="M66" s="2" t="s">
        <v>121</v>
      </c>
      <c r="N66" s="2">
        <v>12</v>
      </c>
      <c r="O66" s="2" t="s">
        <v>75</v>
      </c>
      <c r="P66" s="2">
        <v>7.92</v>
      </c>
      <c r="Q66" s="2">
        <v>2.89</v>
      </c>
      <c r="R66" s="2" t="s">
        <v>76</v>
      </c>
      <c r="S66" s="2">
        <v>17.29</v>
      </c>
      <c r="T66" s="2" t="s">
        <v>69</v>
      </c>
      <c r="U66" s="2">
        <v>41151</v>
      </c>
      <c r="V66" s="2">
        <v>251</v>
      </c>
      <c r="W66" s="2"/>
      <c r="X66" s="2">
        <v>4073949</v>
      </c>
      <c r="Y66" s="2"/>
      <c r="Z66" s="2"/>
      <c r="AA66" s="2" t="s">
        <v>70</v>
      </c>
      <c r="AB66" s="2" t="s">
        <v>37</v>
      </c>
    </row>
    <row r="67" spans="1:28" ht="41.4">
      <c r="A67" s="2" t="s">
        <v>279</v>
      </c>
      <c r="B67" s="2" t="s">
        <v>96</v>
      </c>
      <c r="C67" s="2" t="s">
        <v>280</v>
      </c>
      <c r="D67" s="2" t="s">
        <v>281</v>
      </c>
      <c r="E67" s="2">
        <v>44.7</v>
      </c>
      <c r="F67" s="2">
        <v>66</v>
      </c>
      <c r="G67" s="2">
        <v>9</v>
      </c>
      <c r="H67" s="2">
        <v>3.54</v>
      </c>
      <c r="I67" s="2">
        <v>1</v>
      </c>
      <c r="J67" s="2">
        <v>414866</v>
      </c>
      <c r="K67" s="2">
        <v>8.7100000000000009</v>
      </c>
      <c r="L67" s="2">
        <v>12</v>
      </c>
      <c r="M67" s="2" t="s">
        <v>121</v>
      </c>
      <c r="N67" s="2">
        <v>8</v>
      </c>
      <c r="O67" s="2" t="s">
        <v>52</v>
      </c>
      <c r="P67" s="2">
        <v>12.06</v>
      </c>
      <c r="Q67" s="2">
        <v>0</v>
      </c>
      <c r="R67" s="2" t="s">
        <v>99</v>
      </c>
      <c r="S67" s="2">
        <v>12.79</v>
      </c>
      <c r="T67" s="2" t="s">
        <v>69</v>
      </c>
      <c r="U67" s="2">
        <v>84698</v>
      </c>
      <c r="V67" s="2">
        <v>471</v>
      </c>
      <c r="W67" s="2">
        <v>42356</v>
      </c>
      <c r="X67" s="2">
        <v>9316780</v>
      </c>
      <c r="Y67" s="2">
        <v>36.06</v>
      </c>
      <c r="Z67" s="2">
        <v>15</v>
      </c>
      <c r="AA67" s="2" t="s">
        <v>70</v>
      </c>
      <c r="AB67" s="2" t="s">
        <v>37</v>
      </c>
    </row>
    <row r="68" spans="1:28" ht="41.4">
      <c r="A68" s="2" t="s">
        <v>282</v>
      </c>
      <c r="B68" s="2" t="s">
        <v>96</v>
      </c>
      <c r="C68" s="2" t="s">
        <v>283</v>
      </c>
      <c r="D68" s="2" t="s">
        <v>284</v>
      </c>
      <c r="E68" s="2">
        <v>44.6</v>
      </c>
      <c r="F68" s="2">
        <v>67</v>
      </c>
      <c r="G68" s="2">
        <v>61</v>
      </c>
      <c r="H68" s="2">
        <v>1.73</v>
      </c>
      <c r="I68" s="2">
        <v>1</v>
      </c>
      <c r="J68" s="2">
        <v>245440</v>
      </c>
      <c r="K68" s="2">
        <v>2.71</v>
      </c>
      <c r="L68" s="2">
        <v>20</v>
      </c>
      <c r="M68" s="2" t="s">
        <v>32</v>
      </c>
      <c r="N68" s="2">
        <v>8</v>
      </c>
      <c r="O68" s="2" t="s">
        <v>52</v>
      </c>
      <c r="P68" s="2">
        <v>15.33</v>
      </c>
      <c r="Q68" s="2">
        <v>0</v>
      </c>
      <c r="R68" s="2" t="s">
        <v>99</v>
      </c>
      <c r="S68" s="2">
        <v>7.49</v>
      </c>
      <c r="T68" s="2" t="s">
        <v>69</v>
      </c>
      <c r="U68" s="2">
        <v>136356</v>
      </c>
      <c r="V68" s="2">
        <v>358</v>
      </c>
      <c r="W68" s="2">
        <v>43680</v>
      </c>
      <c r="X68" s="2">
        <v>26453064</v>
      </c>
      <c r="Y68" s="2">
        <v>27.19</v>
      </c>
      <c r="Z68" s="2">
        <v>32</v>
      </c>
      <c r="AA68" s="2" t="s">
        <v>70</v>
      </c>
      <c r="AB68" s="2" t="s">
        <v>37</v>
      </c>
    </row>
    <row r="69" spans="1:28" ht="41.4">
      <c r="A69" s="2" t="s">
        <v>285</v>
      </c>
      <c r="B69" s="2" t="s">
        <v>96</v>
      </c>
      <c r="C69" s="2" t="s">
        <v>286</v>
      </c>
      <c r="D69" s="2" t="s">
        <v>287</v>
      </c>
      <c r="E69" s="2">
        <v>44.3</v>
      </c>
      <c r="F69" s="2">
        <v>68</v>
      </c>
      <c r="G69" s="2">
        <v>50</v>
      </c>
      <c r="H69" s="2">
        <v>1.92</v>
      </c>
      <c r="I69" s="2">
        <v>1</v>
      </c>
      <c r="J69" s="2">
        <v>264831</v>
      </c>
      <c r="K69" s="2">
        <v>3.33</v>
      </c>
      <c r="L69" s="2">
        <v>12</v>
      </c>
      <c r="M69" s="2" t="s">
        <v>121</v>
      </c>
      <c r="N69" s="2">
        <v>8</v>
      </c>
      <c r="O69" s="2" t="s">
        <v>52</v>
      </c>
      <c r="P69" s="2">
        <v>14.96</v>
      </c>
      <c r="Q69" s="2">
        <v>0</v>
      </c>
      <c r="R69" s="2" t="s">
        <v>99</v>
      </c>
      <c r="S69" s="2">
        <v>14.95</v>
      </c>
      <c r="T69" s="2" t="s">
        <v>69</v>
      </c>
      <c r="U69" s="2">
        <v>49234</v>
      </c>
      <c r="V69" s="2">
        <v>342</v>
      </c>
      <c r="W69" s="2">
        <v>37984</v>
      </c>
      <c r="X69" s="2">
        <v>4972634</v>
      </c>
      <c r="Y69" s="2">
        <v>55.53</v>
      </c>
      <c r="Z69" s="2">
        <v>12</v>
      </c>
      <c r="AA69" s="2" t="s">
        <v>70</v>
      </c>
      <c r="AB69" s="2" t="s">
        <v>37</v>
      </c>
    </row>
    <row r="70" spans="1:28" ht="41.4">
      <c r="A70" s="2" t="s">
        <v>288</v>
      </c>
      <c r="B70" s="2" t="s">
        <v>289</v>
      </c>
      <c r="C70" s="2" t="s">
        <v>290</v>
      </c>
      <c r="D70" s="2" t="s">
        <v>291</v>
      </c>
      <c r="E70" s="2">
        <v>44.1</v>
      </c>
      <c r="F70" s="2">
        <v>69</v>
      </c>
      <c r="G70" s="2">
        <v>48</v>
      </c>
      <c r="H70" s="2">
        <v>1.95</v>
      </c>
      <c r="I70" s="2">
        <v>1</v>
      </c>
      <c r="J70" s="2">
        <v>426581</v>
      </c>
      <c r="K70" s="2">
        <v>3.43</v>
      </c>
      <c r="L70" s="2">
        <v>0</v>
      </c>
      <c r="M70" s="2" t="s">
        <v>138</v>
      </c>
      <c r="N70" s="2">
        <v>11</v>
      </c>
      <c r="O70" s="2" t="s">
        <v>59</v>
      </c>
      <c r="P70" s="2">
        <v>11.84</v>
      </c>
      <c r="Q70" s="2">
        <v>8.19</v>
      </c>
      <c r="R70" s="2" t="s">
        <v>86</v>
      </c>
      <c r="S70" s="2">
        <v>18.41</v>
      </c>
      <c r="T70" s="2" t="s">
        <v>35</v>
      </c>
      <c r="U70" s="2">
        <v>32450</v>
      </c>
      <c r="V70" s="2">
        <v>199</v>
      </c>
      <c r="W70" s="2">
        <v>19109</v>
      </c>
      <c r="X70" s="2">
        <v>3731750</v>
      </c>
      <c r="Y70" s="2">
        <v>22.21</v>
      </c>
      <c r="Z70" s="2">
        <v>14</v>
      </c>
      <c r="AA70" s="2" t="s">
        <v>292</v>
      </c>
      <c r="AB70" s="2" t="s">
        <v>37</v>
      </c>
    </row>
    <row r="71" spans="1:28" ht="41.4">
      <c r="A71" s="2" t="s">
        <v>293</v>
      </c>
      <c r="B71" s="2" t="s">
        <v>65</v>
      </c>
      <c r="C71" s="2" t="s">
        <v>294</v>
      </c>
      <c r="D71" s="2" t="s">
        <v>295</v>
      </c>
      <c r="E71" s="2">
        <v>44.1</v>
      </c>
      <c r="F71" s="2">
        <v>70</v>
      </c>
      <c r="G71" s="2">
        <v>43</v>
      </c>
      <c r="H71" s="2">
        <v>2.0299999999999998</v>
      </c>
      <c r="I71" s="2">
        <v>1</v>
      </c>
      <c r="J71" s="2">
        <v>136930</v>
      </c>
      <c r="K71" s="2">
        <v>3.7</v>
      </c>
      <c r="L71" s="2">
        <v>5</v>
      </c>
      <c r="M71" s="2" t="s">
        <v>190</v>
      </c>
      <c r="N71" s="2">
        <v>7</v>
      </c>
      <c r="O71" s="2" t="s">
        <v>52</v>
      </c>
      <c r="P71" s="2">
        <v>17.420000000000002</v>
      </c>
      <c r="Q71" s="2">
        <v>4.6500000000000004</v>
      </c>
      <c r="R71" s="2" t="s">
        <v>68</v>
      </c>
      <c r="S71" s="2">
        <v>15.06</v>
      </c>
      <c r="T71" s="2" t="s">
        <v>69</v>
      </c>
      <c r="U71" s="2">
        <v>62270</v>
      </c>
      <c r="V71" s="2">
        <v>291</v>
      </c>
      <c r="W71" s="2">
        <v>34929</v>
      </c>
      <c r="X71" s="2">
        <v>8157370</v>
      </c>
      <c r="Y71" s="2">
        <v>21.16</v>
      </c>
      <c r="Z71" s="2">
        <v>18</v>
      </c>
      <c r="AA71" s="2" t="s">
        <v>70</v>
      </c>
      <c r="AB71" s="2" t="s">
        <v>37</v>
      </c>
    </row>
    <row r="72" spans="1:28" ht="41.4">
      <c r="A72" s="2" t="s">
        <v>296</v>
      </c>
      <c r="B72" s="2" t="s">
        <v>65</v>
      </c>
      <c r="C72" s="2" t="s">
        <v>297</v>
      </c>
      <c r="D72" s="2" t="s">
        <v>298</v>
      </c>
      <c r="E72" s="2">
        <v>43.6</v>
      </c>
      <c r="F72" s="2">
        <v>71</v>
      </c>
      <c r="G72" s="2">
        <v>99</v>
      </c>
      <c r="H72" s="2">
        <v>1.23</v>
      </c>
      <c r="I72" s="2">
        <v>2</v>
      </c>
      <c r="J72" s="2">
        <v>523193</v>
      </c>
      <c r="K72" s="2">
        <v>1.04</v>
      </c>
      <c r="L72" s="2">
        <v>12</v>
      </c>
      <c r="M72" s="2" t="s">
        <v>121</v>
      </c>
      <c r="N72" s="2">
        <v>7</v>
      </c>
      <c r="O72" s="2" t="s">
        <v>52</v>
      </c>
      <c r="P72" s="2">
        <v>9.9700000000000006</v>
      </c>
      <c r="Q72" s="2">
        <v>4.6500000000000004</v>
      </c>
      <c r="R72" s="2" t="s">
        <v>68</v>
      </c>
      <c r="S72" s="2">
        <v>17.670000000000002</v>
      </c>
      <c r="T72" s="2" t="s">
        <v>69</v>
      </c>
      <c r="U72" s="2">
        <v>43672</v>
      </c>
      <c r="V72" s="2">
        <v>275</v>
      </c>
      <c r="W72" s="2">
        <v>23656</v>
      </c>
      <c r="X72" s="2">
        <v>4410872</v>
      </c>
      <c r="Y72" s="2">
        <v>17.79</v>
      </c>
      <c r="Z72" s="2">
        <v>13</v>
      </c>
      <c r="AA72" s="2" t="s">
        <v>70</v>
      </c>
      <c r="AB72" s="2" t="s">
        <v>37</v>
      </c>
    </row>
    <row r="73" spans="1:28" ht="41.4">
      <c r="A73" s="2" t="s">
        <v>299</v>
      </c>
      <c r="B73" s="2" t="s">
        <v>300</v>
      </c>
      <c r="C73" s="2" t="s">
        <v>301</v>
      </c>
      <c r="D73" s="2" t="s">
        <v>302</v>
      </c>
      <c r="E73" s="2">
        <v>43.6</v>
      </c>
      <c r="F73" s="2">
        <v>72</v>
      </c>
      <c r="G73" s="2">
        <v>96</v>
      </c>
      <c r="H73" s="2">
        <v>1.25</v>
      </c>
      <c r="I73" s="2">
        <v>2</v>
      </c>
      <c r="J73" s="2">
        <v>185351</v>
      </c>
      <c r="K73" s="2">
        <v>1.1000000000000001</v>
      </c>
      <c r="L73" s="2">
        <v>0</v>
      </c>
      <c r="M73" s="2" t="s">
        <v>138</v>
      </c>
      <c r="N73" s="2">
        <v>7</v>
      </c>
      <c r="O73" s="2" t="s">
        <v>52</v>
      </c>
      <c r="P73" s="2">
        <v>16.489999999999998</v>
      </c>
      <c r="Q73" s="2">
        <v>10.52</v>
      </c>
      <c r="R73" s="2" t="s">
        <v>53</v>
      </c>
      <c r="S73" s="2">
        <v>17.190000000000001</v>
      </c>
      <c r="T73" s="2" t="s">
        <v>35</v>
      </c>
      <c r="U73" s="2">
        <v>45950</v>
      </c>
      <c r="V73" s="2">
        <v>233</v>
      </c>
      <c r="W73" s="2">
        <v>22176</v>
      </c>
      <c r="X73" s="2">
        <v>5192350</v>
      </c>
      <c r="Y73" s="2">
        <v>22.66</v>
      </c>
      <c r="Z73" s="2">
        <v>16</v>
      </c>
      <c r="AA73" s="2" t="s">
        <v>303</v>
      </c>
      <c r="AB73" s="2" t="s">
        <v>37</v>
      </c>
    </row>
    <row r="74" spans="1:28" ht="41.4">
      <c r="A74" s="2" t="s">
        <v>304</v>
      </c>
      <c r="B74" s="2" t="s">
        <v>259</v>
      </c>
      <c r="C74" s="2" t="s">
        <v>305</v>
      </c>
      <c r="D74" s="2" t="s">
        <v>306</v>
      </c>
      <c r="E74" s="2">
        <v>43.6</v>
      </c>
      <c r="F74" s="2">
        <v>73</v>
      </c>
      <c r="G74" s="2">
        <v>21</v>
      </c>
      <c r="H74" s="2">
        <v>2.56</v>
      </c>
      <c r="I74" s="2">
        <v>1</v>
      </c>
      <c r="J74" s="2">
        <v>700358</v>
      </c>
      <c r="K74" s="2">
        <v>5.45</v>
      </c>
      <c r="L74" s="2">
        <v>0</v>
      </c>
      <c r="M74" s="2" t="s">
        <v>138</v>
      </c>
      <c r="N74" s="2">
        <v>16</v>
      </c>
      <c r="O74" s="2" t="s">
        <v>33</v>
      </c>
      <c r="P74" s="2">
        <v>6.56</v>
      </c>
      <c r="Q74" s="2">
        <v>5.69</v>
      </c>
      <c r="R74" s="2" t="s">
        <v>205</v>
      </c>
      <c r="S74" s="2">
        <v>18.53</v>
      </c>
      <c r="T74" s="2" t="s">
        <v>35</v>
      </c>
      <c r="U74" s="2">
        <v>28842</v>
      </c>
      <c r="V74" s="2">
        <v>166</v>
      </c>
      <c r="W74" s="2">
        <v>21807</v>
      </c>
      <c r="X74" s="2">
        <v>4355142</v>
      </c>
      <c r="Y74" s="2">
        <v>19.940000000000001</v>
      </c>
      <c r="Z74" s="2">
        <v>14</v>
      </c>
      <c r="AA74" s="2" t="s">
        <v>262</v>
      </c>
      <c r="AB74" s="2" t="s">
        <v>37</v>
      </c>
    </row>
    <row r="75" spans="1:28" ht="41.4">
      <c r="A75" s="2" t="s">
        <v>307</v>
      </c>
      <c r="B75" s="2" t="s">
        <v>289</v>
      </c>
      <c r="C75" s="2" t="s">
        <v>308</v>
      </c>
      <c r="D75" s="2" t="s">
        <v>309</v>
      </c>
      <c r="E75" s="2">
        <v>43.3</v>
      </c>
      <c r="F75" s="2">
        <v>74</v>
      </c>
      <c r="G75" s="2">
        <v>84</v>
      </c>
      <c r="H75" s="2">
        <v>1.48</v>
      </c>
      <c r="I75" s="2">
        <v>2</v>
      </c>
      <c r="J75" s="2">
        <v>394734</v>
      </c>
      <c r="K75" s="2">
        <v>1.86</v>
      </c>
      <c r="L75" s="2">
        <v>0</v>
      </c>
      <c r="M75" s="2" t="s">
        <v>138</v>
      </c>
      <c r="N75" s="2">
        <v>11</v>
      </c>
      <c r="O75" s="2" t="s">
        <v>59</v>
      </c>
      <c r="P75" s="2">
        <v>12.45</v>
      </c>
      <c r="Q75" s="2">
        <v>8.19</v>
      </c>
      <c r="R75" s="2" t="s">
        <v>86</v>
      </c>
      <c r="S75" s="2">
        <v>18.41</v>
      </c>
      <c r="T75" s="2" t="s">
        <v>35</v>
      </c>
      <c r="U75" s="2">
        <v>32450</v>
      </c>
      <c r="V75" s="2">
        <v>199</v>
      </c>
      <c r="W75" s="2">
        <v>19109</v>
      </c>
      <c r="X75" s="2">
        <v>3731750</v>
      </c>
      <c r="Y75" s="2">
        <v>22.21</v>
      </c>
      <c r="Z75" s="2">
        <v>14</v>
      </c>
      <c r="AA75" s="2" t="s">
        <v>292</v>
      </c>
      <c r="AB75" s="2" t="s">
        <v>37</v>
      </c>
    </row>
    <row r="76" spans="1:28" ht="41.4">
      <c r="A76" s="2" t="s">
        <v>310</v>
      </c>
      <c r="B76" s="2" t="s">
        <v>96</v>
      </c>
      <c r="C76" s="2" t="s">
        <v>311</v>
      </c>
      <c r="D76" s="2" t="s">
        <v>312</v>
      </c>
      <c r="E76" s="2">
        <v>42.1</v>
      </c>
      <c r="F76" s="2">
        <v>75</v>
      </c>
      <c r="G76" s="2">
        <v>38</v>
      </c>
      <c r="H76" s="2">
        <v>2.17</v>
      </c>
      <c r="I76" s="2">
        <v>1</v>
      </c>
      <c r="J76" s="2">
        <v>444820</v>
      </c>
      <c r="K76" s="2">
        <v>4.17</v>
      </c>
      <c r="L76" s="2">
        <v>12</v>
      </c>
      <c r="M76" s="2" t="s">
        <v>121</v>
      </c>
      <c r="N76" s="2">
        <v>8</v>
      </c>
      <c r="O76" s="2" t="s">
        <v>52</v>
      </c>
      <c r="P76" s="2">
        <v>11.48</v>
      </c>
      <c r="Q76" s="2">
        <v>0</v>
      </c>
      <c r="R76" s="2" t="s">
        <v>99</v>
      </c>
      <c r="S76" s="2">
        <v>14.86</v>
      </c>
      <c r="T76" s="2" t="s">
        <v>69</v>
      </c>
      <c r="U76" s="2">
        <v>65809</v>
      </c>
      <c r="V76" s="2">
        <v>403</v>
      </c>
      <c r="W76" s="2">
        <v>34629</v>
      </c>
      <c r="X76" s="2">
        <v>5922810</v>
      </c>
      <c r="Y76" s="2">
        <v>31.97</v>
      </c>
      <c r="Z76" s="2">
        <v>14</v>
      </c>
      <c r="AA76" s="2" t="s">
        <v>70</v>
      </c>
      <c r="AB76" s="2" t="s">
        <v>37</v>
      </c>
    </row>
    <row r="77" spans="1:28" ht="41.4">
      <c r="A77" s="2" t="s">
        <v>313</v>
      </c>
      <c r="B77" s="2" t="s">
        <v>104</v>
      </c>
      <c r="C77" s="2" t="s">
        <v>314</v>
      </c>
      <c r="D77" s="2" t="s">
        <v>315</v>
      </c>
      <c r="E77" s="2">
        <v>41.7</v>
      </c>
      <c r="F77" s="2">
        <v>76</v>
      </c>
      <c r="G77" s="2">
        <v>79</v>
      </c>
      <c r="H77" s="2">
        <v>1.52</v>
      </c>
      <c r="I77" s="2">
        <v>2</v>
      </c>
      <c r="J77" s="2">
        <v>308551</v>
      </c>
      <c r="K77" s="2">
        <v>2</v>
      </c>
      <c r="L77" s="2">
        <v>5</v>
      </c>
      <c r="M77" s="2" t="s">
        <v>190</v>
      </c>
      <c r="N77" s="2">
        <v>8</v>
      </c>
      <c r="O77" s="2" t="s">
        <v>52</v>
      </c>
      <c r="P77" s="2">
        <v>14.11</v>
      </c>
      <c r="Q77" s="2">
        <v>4.6500000000000004</v>
      </c>
      <c r="R77" s="2" t="s">
        <v>68</v>
      </c>
      <c r="S77" s="2">
        <v>16.309999999999999</v>
      </c>
      <c r="T77" s="2" t="s">
        <v>35</v>
      </c>
      <c r="U77" s="2">
        <v>49446</v>
      </c>
      <c r="V77" s="2">
        <v>245</v>
      </c>
      <c r="W77" s="2">
        <v>26652</v>
      </c>
      <c r="X77" s="2">
        <v>6675210</v>
      </c>
      <c r="Y77" s="2">
        <v>25.27</v>
      </c>
      <c r="Z77" s="2">
        <v>17</v>
      </c>
      <c r="AA77" s="2" t="s">
        <v>107</v>
      </c>
      <c r="AB77" s="2" t="s">
        <v>37</v>
      </c>
    </row>
    <row r="78" spans="1:28" ht="41.4">
      <c r="A78" s="2" t="s">
        <v>316</v>
      </c>
      <c r="B78" s="2" t="s">
        <v>96</v>
      </c>
      <c r="C78" s="2" t="s">
        <v>317</v>
      </c>
      <c r="D78" s="2" t="s">
        <v>318</v>
      </c>
      <c r="E78" s="2">
        <v>41.6</v>
      </c>
      <c r="F78" s="2">
        <v>77</v>
      </c>
      <c r="G78" s="2">
        <v>39</v>
      </c>
      <c r="H78" s="2">
        <v>2.16</v>
      </c>
      <c r="I78" s="2">
        <v>1</v>
      </c>
      <c r="J78" s="2">
        <v>789033</v>
      </c>
      <c r="K78" s="2">
        <v>4.13</v>
      </c>
      <c r="L78" s="2">
        <v>20</v>
      </c>
      <c r="M78" s="2" t="s">
        <v>32</v>
      </c>
      <c r="N78" s="2">
        <v>6</v>
      </c>
      <c r="O78" s="2" t="s">
        <v>200</v>
      </c>
      <c r="P78" s="2">
        <v>4.8499999999999996</v>
      </c>
      <c r="Q78" s="2">
        <v>0</v>
      </c>
      <c r="R78" s="2" t="s">
        <v>99</v>
      </c>
      <c r="S78" s="2">
        <v>14.92</v>
      </c>
      <c r="T78" s="2" t="s">
        <v>69</v>
      </c>
      <c r="U78" s="2">
        <v>55852</v>
      </c>
      <c r="V78" s="2">
        <v>387</v>
      </c>
      <c r="W78" s="2">
        <v>35569</v>
      </c>
      <c r="X78" s="2">
        <v>5585200</v>
      </c>
      <c r="Y78" s="2">
        <v>46.74</v>
      </c>
      <c r="Z78" s="2">
        <v>12</v>
      </c>
      <c r="AA78" s="2" t="s">
        <v>70</v>
      </c>
      <c r="AB78" s="2" t="s">
        <v>37</v>
      </c>
    </row>
    <row r="79" spans="1:28" ht="41.4">
      <c r="A79" s="2" t="s">
        <v>319</v>
      </c>
      <c r="B79" s="2" t="s">
        <v>320</v>
      </c>
      <c r="C79" s="2" t="s">
        <v>321</v>
      </c>
      <c r="D79" s="2" t="s">
        <v>322</v>
      </c>
      <c r="E79" s="2">
        <v>41.7</v>
      </c>
      <c r="F79" s="2">
        <v>78</v>
      </c>
      <c r="G79" s="2">
        <v>77</v>
      </c>
      <c r="H79" s="2">
        <v>1.53</v>
      </c>
      <c r="I79" s="2">
        <v>2</v>
      </c>
      <c r="J79" s="2">
        <v>166321</v>
      </c>
      <c r="K79" s="2">
        <v>2.0299999999999998</v>
      </c>
      <c r="L79" s="2">
        <v>0</v>
      </c>
      <c r="M79" s="2" t="s">
        <v>138</v>
      </c>
      <c r="N79" s="2">
        <v>5</v>
      </c>
      <c r="O79" s="2" t="s">
        <v>85</v>
      </c>
      <c r="P79" s="2">
        <v>16.86</v>
      </c>
      <c r="Q79" s="2">
        <v>8.19</v>
      </c>
      <c r="R79" s="2" t="s">
        <v>86</v>
      </c>
      <c r="S79" s="2">
        <v>17.87</v>
      </c>
      <c r="T79" s="2" t="s">
        <v>35</v>
      </c>
      <c r="U79" s="2">
        <v>36152</v>
      </c>
      <c r="V79" s="2">
        <v>214</v>
      </c>
      <c r="W79" s="2">
        <v>21585</v>
      </c>
      <c r="X79" s="2">
        <v>4265936</v>
      </c>
      <c r="Y79" s="2">
        <v>26.09</v>
      </c>
      <c r="Z79" s="2">
        <v>14</v>
      </c>
      <c r="AA79" s="2" t="s">
        <v>323</v>
      </c>
      <c r="AB79" s="2" t="s">
        <v>37</v>
      </c>
    </row>
    <row r="80" spans="1:28" ht="41.4">
      <c r="A80" s="2" t="s">
        <v>324</v>
      </c>
      <c r="B80" s="2" t="s">
        <v>325</v>
      </c>
      <c r="C80" s="2" t="s">
        <v>62</v>
      </c>
      <c r="D80" s="2" t="s">
        <v>326</v>
      </c>
      <c r="E80" s="2">
        <v>41.2</v>
      </c>
      <c r="F80" s="2">
        <v>79</v>
      </c>
      <c r="G80" s="2">
        <v>97</v>
      </c>
      <c r="H80" s="2">
        <v>1.23</v>
      </c>
      <c r="I80" s="2">
        <v>2</v>
      </c>
      <c r="J80" s="2">
        <v>275111</v>
      </c>
      <c r="K80" s="2">
        <v>1.05</v>
      </c>
      <c r="L80" s="2">
        <v>0</v>
      </c>
      <c r="M80" s="2" t="s">
        <v>138</v>
      </c>
      <c r="N80" s="2">
        <v>10</v>
      </c>
      <c r="O80" s="2" t="s">
        <v>59</v>
      </c>
      <c r="P80" s="2">
        <v>14.76</v>
      </c>
      <c r="Q80" s="2">
        <v>4.6500000000000004</v>
      </c>
      <c r="R80" s="2" t="s">
        <v>68</v>
      </c>
      <c r="S80" s="2">
        <v>18.989999999999998</v>
      </c>
      <c r="T80" s="2" t="s">
        <v>35</v>
      </c>
      <c r="U80" s="2">
        <v>28541</v>
      </c>
      <c r="V80" s="2">
        <v>180</v>
      </c>
      <c r="W80" s="2">
        <v>16547</v>
      </c>
      <c r="X80" s="2">
        <v>3339297</v>
      </c>
      <c r="Y80" s="2">
        <v>21.74</v>
      </c>
      <c r="Z80" s="2">
        <v>13</v>
      </c>
      <c r="AA80" s="2" t="s">
        <v>327</v>
      </c>
      <c r="AB80" s="2" t="s">
        <v>37</v>
      </c>
    </row>
    <row r="81" spans="1:28" ht="41.4">
      <c r="A81" s="2" t="s">
        <v>328</v>
      </c>
      <c r="B81" s="2" t="s">
        <v>202</v>
      </c>
      <c r="C81" s="2" t="s">
        <v>329</v>
      </c>
      <c r="D81" s="2" t="s">
        <v>330</v>
      </c>
      <c r="E81" s="2">
        <v>40.9</v>
      </c>
      <c r="F81" s="2">
        <v>80</v>
      </c>
      <c r="G81" s="2">
        <v>47</v>
      </c>
      <c r="H81" s="2">
        <v>1.96</v>
      </c>
      <c r="I81" s="2">
        <v>1</v>
      </c>
      <c r="J81" s="2">
        <v>629112</v>
      </c>
      <c r="K81" s="2">
        <v>3.45</v>
      </c>
      <c r="L81" s="2">
        <v>0</v>
      </c>
      <c r="M81" s="2" t="s">
        <v>138</v>
      </c>
      <c r="N81" s="2">
        <v>15</v>
      </c>
      <c r="O81" s="2" t="s">
        <v>42</v>
      </c>
      <c r="P81" s="2">
        <v>7.93</v>
      </c>
      <c r="Q81" s="2">
        <v>5.69</v>
      </c>
      <c r="R81" s="2" t="s">
        <v>205</v>
      </c>
      <c r="S81" s="2">
        <v>16.97</v>
      </c>
      <c r="T81" s="2" t="s">
        <v>69</v>
      </c>
      <c r="U81" s="2">
        <v>44821</v>
      </c>
      <c r="V81" s="2">
        <v>263</v>
      </c>
      <c r="W81" s="2">
        <v>29165</v>
      </c>
      <c r="X81" s="2">
        <v>5737088</v>
      </c>
      <c r="Y81" s="2">
        <v>20</v>
      </c>
      <c r="Z81" s="2">
        <v>14</v>
      </c>
      <c r="AA81" s="2" t="s">
        <v>70</v>
      </c>
      <c r="AB81" s="2" t="s">
        <v>37</v>
      </c>
    </row>
    <row r="82" spans="1:28" ht="41.4">
      <c r="A82" s="2" t="s">
        <v>331</v>
      </c>
      <c r="B82" s="2" t="s">
        <v>332</v>
      </c>
      <c r="C82" s="2" t="s">
        <v>62</v>
      </c>
      <c r="D82" s="2" t="s">
        <v>333</v>
      </c>
      <c r="E82" s="2">
        <v>40.9</v>
      </c>
      <c r="F82" s="2">
        <v>81</v>
      </c>
      <c r="G82" s="2">
        <v>83</v>
      </c>
      <c r="H82" s="2">
        <v>1.48</v>
      </c>
      <c r="I82" s="2">
        <v>2</v>
      </c>
      <c r="J82" s="2">
        <v>222340</v>
      </c>
      <c r="K82" s="2">
        <v>1.87</v>
      </c>
      <c r="L82" s="2">
        <v>0</v>
      </c>
      <c r="M82" s="2" t="s">
        <v>138</v>
      </c>
      <c r="N82" s="2">
        <v>6</v>
      </c>
      <c r="O82" s="2" t="s">
        <v>52</v>
      </c>
      <c r="P82" s="2">
        <v>15.78</v>
      </c>
      <c r="Q82" s="2">
        <v>8.19</v>
      </c>
      <c r="R82" s="2" t="s">
        <v>86</v>
      </c>
      <c r="S82" s="2">
        <v>17.329999999999998</v>
      </c>
      <c r="T82" s="2" t="s">
        <v>35</v>
      </c>
      <c r="U82" s="2">
        <v>39182</v>
      </c>
      <c r="V82" s="2">
        <v>208</v>
      </c>
      <c r="W82" s="2">
        <v>20836</v>
      </c>
      <c r="X82" s="2">
        <v>4976114</v>
      </c>
      <c r="Y82" s="2">
        <v>29.44</v>
      </c>
      <c r="Z82" s="2">
        <v>16</v>
      </c>
      <c r="AA82" s="2" t="s">
        <v>334</v>
      </c>
      <c r="AB82" s="2" t="s">
        <v>37</v>
      </c>
    </row>
    <row r="83" spans="1:28" ht="41.4">
      <c r="A83" s="2" t="s">
        <v>335</v>
      </c>
      <c r="B83" s="2" t="s">
        <v>336</v>
      </c>
      <c r="C83" s="2" t="s">
        <v>337</v>
      </c>
      <c r="D83" s="2" t="s">
        <v>338</v>
      </c>
      <c r="E83" s="2">
        <v>40.6</v>
      </c>
      <c r="F83" s="2">
        <v>82</v>
      </c>
      <c r="G83" s="2">
        <v>30</v>
      </c>
      <c r="H83" s="2">
        <v>2.38</v>
      </c>
      <c r="I83" s="2">
        <v>1</v>
      </c>
      <c r="J83" s="2">
        <v>345933</v>
      </c>
      <c r="K83" s="2">
        <v>4.83</v>
      </c>
      <c r="L83" s="2">
        <v>0</v>
      </c>
      <c r="M83" s="2" t="s">
        <v>138</v>
      </c>
      <c r="N83" s="2">
        <v>8</v>
      </c>
      <c r="O83" s="2" t="s">
        <v>52</v>
      </c>
      <c r="P83" s="2">
        <v>13.39</v>
      </c>
      <c r="Q83" s="2">
        <v>4.6500000000000004</v>
      </c>
      <c r="R83" s="2" t="s">
        <v>68</v>
      </c>
      <c r="S83" s="2">
        <v>17.84</v>
      </c>
      <c r="T83" s="2" t="s">
        <v>35</v>
      </c>
      <c r="U83" s="2">
        <v>37480</v>
      </c>
      <c r="V83" s="2">
        <v>218</v>
      </c>
      <c r="W83" s="2">
        <v>17675</v>
      </c>
      <c r="X83" s="2">
        <v>4497600</v>
      </c>
      <c r="Y83" s="2">
        <v>30.56</v>
      </c>
      <c r="Z83" s="2">
        <v>14</v>
      </c>
      <c r="AA83" s="2" t="s">
        <v>339</v>
      </c>
      <c r="AB83" s="2" t="s">
        <v>37</v>
      </c>
    </row>
    <row r="84" spans="1:28" ht="41.4">
      <c r="A84" s="2" t="s">
        <v>340</v>
      </c>
      <c r="B84" s="2" t="s">
        <v>96</v>
      </c>
      <c r="C84" s="2" t="s">
        <v>341</v>
      </c>
      <c r="D84" s="2" t="s">
        <v>342</v>
      </c>
      <c r="E84" s="2">
        <v>40.5</v>
      </c>
      <c r="F84" s="2">
        <v>83</v>
      </c>
      <c r="G84" s="2">
        <v>13</v>
      </c>
      <c r="H84" s="2">
        <v>3.36</v>
      </c>
      <c r="I84" s="2">
        <v>1</v>
      </c>
      <c r="J84" s="2">
        <v>727819</v>
      </c>
      <c r="K84" s="2">
        <v>8.11</v>
      </c>
      <c r="L84" s="2">
        <v>12</v>
      </c>
      <c r="M84" s="2" t="s">
        <v>121</v>
      </c>
      <c r="N84" s="2">
        <v>8</v>
      </c>
      <c r="O84" s="2" t="s">
        <v>52</v>
      </c>
      <c r="P84" s="2">
        <v>6.03</v>
      </c>
      <c r="Q84" s="2">
        <v>0</v>
      </c>
      <c r="R84" s="2" t="s">
        <v>99</v>
      </c>
      <c r="S84" s="2">
        <v>14.38</v>
      </c>
      <c r="T84" s="2" t="s">
        <v>69</v>
      </c>
      <c r="U84" s="2">
        <v>71823</v>
      </c>
      <c r="V84" s="2">
        <v>379</v>
      </c>
      <c r="W84" s="2">
        <v>36016</v>
      </c>
      <c r="X84" s="2">
        <v>7541415</v>
      </c>
      <c r="Y84" s="2">
        <v>28.45</v>
      </c>
      <c r="Z84" s="2">
        <v>16</v>
      </c>
      <c r="AA84" s="2" t="s">
        <v>70</v>
      </c>
      <c r="AB84" s="2" t="s">
        <v>37</v>
      </c>
    </row>
    <row r="85" spans="1:28" ht="41.4">
      <c r="A85" s="2" t="s">
        <v>343</v>
      </c>
      <c r="B85" s="2" t="s">
        <v>96</v>
      </c>
      <c r="C85" s="2" t="s">
        <v>344</v>
      </c>
      <c r="D85" s="2" t="s">
        <v>345</v>
      </c>
      <c r="E85" s="2">
        <v>39.799999999999997</v>
      </c>
      <c r="F85" s="2">
        <v>84</v>
      </c>
      <c r="G85" s="2">
        <v>28</v>
      </c>
      <c r="H85" s="2">
        <v>2.42</v>
      </c>
      <c r="I85" s="2">
        <v>1</v>
      </c>
      <c r="J85" s="2">
        <v>560086</v>
      </c>
      <c r="K85" s="2">
        <v>4.99</v>
      </c>
      <c r="L85" s="2">
        <v>12</v>
      </c>
      <c r="M85" s="2" t="s">
        <v>121</v>
      </c>
      <c r="N85" s="2">
        <v>8</v>
      </c>
      <c r="O85" s="2" t="s">
        <v>52</v>
      </c>
      <c r="P85" s="2">
        <v>9.26</v>
      </c>
      <c r="Q85" s="2">
        <v>0</v>
      </c>
      <c r="R85" s="2" t="s">
        <v>99</v>
      </c>
      <c r="S85" s="2">
        <v>13.46</v>
      </c>
      <c r="T85" s="2" t="s">
        <v>69</v>
      </c>
      <c r="U85" s="2">
        <v>57008</v>
      </c>
      <c r="V85" s="2">
        <v>414</v>
      </c>
      <c r="W85" s="2">
        <v>38887</v>
      </c>
      <c r="X85" s="2">
        <v>5871824</v>
      </c>
      <c r="Y85" s="2">
        <v>78.09</v>
      </c>
      <c r="Z85" s="2">
        <v>11</v>
      </c>
      <c r="AA85" s="2" t="s">
        <v>70</v>
      </c>
      <c r="AB85" s="2" t="s">
        <v>37</v>
      </c>
    </row>
    <row r="86" spans="1:28" ht="41.4">
      <c r="A86" s="2" t="s">
        <v>346</v>
      </c>
      <c r="B86" s="2" t="s">
        <v>347</v>
      </c>
      <c r="C86" s="2" t="s">
        <v>348</v>
      </c>
      <c r="D86" s="2" t="s">
        <v>349</v>
      </c>
      <c r="E86" s="2">
        <v>39.799999999999997</v>
      </c>
      <c r="F86" s="2">
        <v>85</v>
      </c>
      <c r="G86" s="2">
        <v>68</v>
      </c>
      <c r="H86" s="2">
        <v>1.58</v>
      </c>
      <c r="I86" s="2">
        <v>2</v>
      </c>
      <c r="J86" s="2">
        <v>269160</v>
      </c>
      <c r="K86" s="2">
        <v>2.21</v>
      </c>
      <c r="L86" s="2">
        <v>0</v>
      </c>
      <c r="M86" s="2" t="s">
        <v>138</v>
      </c>
      <c r="N86" s="2">
        <v>8</v>
      </c>
      <c r="O86" s="2" t="s">
        <v>52</v>
      </c>
      <c r="P86" s="2">
        <v>14.87</v>
      </c>
      <c r="Q86" s="2">
        <v>4.6500000000000004</v>
      </c>
      <c r="R86" s="2" t="s">
        <v>68</v>
      </c>
      <c r="S86" s="2">
        <v>18.03</v>
      </c>
      <c r="T86" s="2" t="s">
        <v>35</v>
      </c>
      <c r="U86" s="2">
        <v>35833</v>
      </c>
      <c r="V86" s="2">
        <v>211</v>
      </c>
      <c r="W86" s="2">
        <v>21493</v>
      </c>
      <c r="X86" s="2">
        <v>4407459</v>
      </c>
      <c r="Y86" s="2">
        <v>22.12</v>
      </c>
      <c r="Z86" s="2">
        <v>14</v>
      </c>
      <c r="AA86" s="2" t="s">
        <v>350</v>
      </c>
      <c r="AB86" s="2" t="s">
        <v>37</v>
      </c>
    </row>
    <row r="87" spans="1:28" ht="41.4">
      <c r="A87" s="2" t="s">
        <v>351</v>
      </c>
      <c r="B87" s="2" t="s">
        <v>352</v>
      </c>
      <c r="C87" s="2" t="s">
        <v>62</v>
      </c>
      <c r="D87" s="2" t="s">
        <v>353</v>
      </c>
      <c r="E87" s="2">
        <v>39.4</v>
      </c>
      <c r="F87" s="2">
        <v>86</v>
      </c>
      <c r="G87" s="2">
        <v>73</v>
      </c>
      <c r="H87" s="2">
        <v>1.55</v>
      </c>
      <c r="I87" s="2">
        <v>2</v>
      </c>
      <c r="J87" s="2">
        <v>272797</v>
      </c>
      <c r="K87" s="2">
        <v>2.11</v>
      </c>
      <c r="L87" s="2">
        <v>0</v>
      </c>
      <c r="M87" s="2" t="s">
        <v>138</v>
      </c>
      <c r="N87" s="2">
        <v>10</v>
      </c>
      <c r="O87" s="2" t="s">
        <v>59</v>
      </c>
      <c r="P87" s="2">
        <v>14.8</v>
      </c>
      <c r="Q87" s="2">
        <v>2.89</v>
      </c>
      <c r="R87" s="2" t="s">
        <v>76</v>
      </c>
      <c r="S87" s="2">
        <v>17.46</v>
      </c>
      <c r="T87" s="2" t="s">
        <v>35</v>
      </c>
      <c r="U87" s="2">
        <v>37136</v>
      </c>
      <c r="V87" s="2">
        <v>185</v>
      </c>
      <c r="W87" s="2">
        <v>18297</v>
      </c>
      <c r="X87" s="2">
        <v>4827680</v>
      </c>
      <c r="Y87" s="2">
        <v>31.36</v>
      </c>
      <c r="Z87" s="2">
        <v>17</v>
      </c>
      <c r="AA87" s="2" t="s">
        <v>354</v>
      </c>
      <c r="AB87" s="2" t="s">
        <v>37</v>
      </c>
    </row>
    <row r="88" spans="1:28" ht="41.4">
      <c r="A88" s="2" t="s">
        <v>355</v>
      </c>
      <c r="B88" s="2" t="s">
        <v>320</v>
      </c>
      <c r="C88" s="2" t="s">
        <v>356</v>
      </c>
      <c r="D88" s="2" t="s">
        <v>357</v>
      </c>
      <c r="E88" s="2">
        <v>39.4</v>
      </c>
      <c r="F88" s="2">
        <v>87</v>
      </c>
      <c r="G88" s="2">
        <v>87</v>
      </c>
      <c r="H88" s="2">
        <v>1.39</v>
      </c>
      <c r="I88" s="2">
        <v>2</v>
      </c>
      <c r="J88" s="2">
        <v>282078</v>
      </c>
      <c r="K88" s="2">
        <v>1.58</v>
      </c>
      <c r="L88" s="2">
        <v>0</v>
      </c>
      <c r="M88" s="2" t="s">
        <v>138</v>
      </c>
      <c r="N88" s="2">
        <v>5</v>
      </c>
      <c r="O88" s="2" t="s">
        <v>85</v>
      </c>
      <c r="P88" s="2">
        <v>14.62</v>
      </c>
      <c r="Q88" s="2">
        <v>8.19</v>
      </c>
      <c r="R88" s="2" t="s">
        <v>86</v>
      </c>
      <c r="S88" s="2">
        <v>17.87</v>
      </c>
      <c r="T88" s="2" t="s">
        <v>35</v>
      </c>
      <c r="U88" s="2">
        <v>36152</v>
      </c>
      <c r="V88" s="2">
        <v>214</v>
      </c>
      <c r="W88" s="2">
        <v>21585</v>
      </c>
      <c r="X88" s="2">
        <v>4265936</v>
      </c>
      <c r="Y88" s="2">
        <v>26.09</v>
      </c>
      <c r="Z88" s="2">
        <v>14</v>
      </c>
      <c r="AA88" s="2" t="s">
        <v>323</v>
      </c>
      <c r="AB88" s="2" t="s">
        <v>37</v>
      </c>
    </row>
    <row r="89" spans="1:28" ht="41.4">
      <c r="A89" s="2" t="s">
        <v>358</v>
      </c>
      <c r="B89" s="2" t="s">
        <v>359</v>
      </c>
      <c r="C89" s="2" t="s">
        <v>360</v>
      </c>
      <c r="D89" s="2" t="s">
        <v>361</v>
      </c>
      <c r="E89" s="2">
        <v>38.1</v>
      </c>
      <c r="F89" s="2">
        <v>88</v>
      </c>
      <c r="G89" s="2">
        <v>76</v>
      </c>
      <c r="H89" s="2">
        <v>1.53</v>
      </c>
      <c r="I89" s="2">
        <v>2</v>
      </c>
      <c r="J89" s="2">
        <v>378650</v>
      </c>
      <c r="K89" s="2">
        <v>2.04</v>
      </c>
      <c r="L89" s="2">
        <v>0</v>
      </c>
      <c r="M89" s="2" t="s">
        <v>138</v>
      </c>
      <c r="N89" s="2">
        <v>10</v>
      </c>
      <c r="O89" s="2" t="s">
        <v>59</v>
      </c>
      <c r="P89" s="2">
        <v>12.76</v>
      </c>
      <c r="Q89" s="2">
        <v>2.89</v>
      </c>
      <c r="R89" s="2" t="s">
        <v>76</v>
      </c>
      <c r="S89" s="2">
        <v>18.010000000000002</v>
      </c>
      <c r="T89" s="2" t="s">
        <v>35</v>
      </c>
      <c r="U89" s="2">
        <v>31116</v>
      </c>
      <c r="V89" s="2">
        <v>187</v>
      </c>
      <c r="W89" s="2">
        <v>21664</v>
      </c>
      <c r="X89" s="2">
        <v>4325124</v>
      </c>
      <c r="Y89" s="2">
        <v>29.09</v>
      </c>
      <c r="Z89" s="2">
        <v>14</v>
      </c>
      <c r="AA89" s="2" t="s">
        <v>362</v>
      </c>
      <c r="AB89" s="2" t="s">
        <v>37</v>
      </c>
    </row>
    <row r="90" spans="1:28" ht="41.4">
      <c r="A90" s="2" t="s">
        <v>363</v>
      </c>
      <c r="B90" s="2" t="s">
        <v>364</v>
      </c>
      <c r="C90" s="2" t="s">
        <v>365</v>
      </c>
      <c r="D90" s="2" t="s">
        <v>366</v>
      </c>
      <c r="E90" s="2">
        <v>38.1</v>
      </c>
      <c r="F90" s="2">
        <v>89</v>
      </c>
      <c r="G90" s="2">
        <v>31</v>
      </c>
      <c r="H90" s="2">
        <v>2.38</v>
      </c>
      <c r="I90" s="2">
        <v>1</v>
      </c>
      <c r="J90" s="2">
        <v>888696</v>
      </c>
      <c r="K90" s="2">
        <v>4.83</v>
      </c>
      <c r="L90" s="2">
        <v>0</v>
      </c>
      <c r="M90" s="2" t="s">
        <v>138</v>
      </c>
      <c r="N90" s="2">
        <v>8</v>
      </c>
      <c r="O90" s="2" t="s">
        <v>52</v>
      </c>
      <c r="P90" s="2">
        <v>2.92</v>
      </c>
      <c r="Q90" s="2">
        <v>11.2</v>
      </c>
      <c r="R90" s="2" t="s">
        <v>367</v>
      </c>
      <c r="S90" s="2">
        <v>18.71</v>
      </c>
      <c r="T90" s="2" t="s">
        <v>35</v>
      </c>
      <c r="U90" s="2">
        <v>26808</v>
      </c>
      <c r="V90" s="2">
        <v>153</v>
      </c>
      <c r="W90" s="2">
        <v>19068</v>
      </c>
      <c r="X90" s="2">
        <v>3887160</v>
      </c>
      <c r="Y90" s="2">
        <v>20.2</v>
      </c>
      <c r="Z90" s="2">
        <v>15</v>
      </c>
      <c r="AA90" s="2" t="s">
        <v>368</v>
      </c>
      <c r="AB90" s="2" t="s">
        <v>37</v>
      </c>
    </row>
    <row r="91" spans="1:28" ht="41.4">
      <c r="A91" s="2" t="s">
        <v>369</v>
      </c>
      <c r="B91" s="2" t="s">
        <v>96</v>
      </c>
      <c r="C91" s="2" t="s">
        <v>370</v>
      </c>
      <c r="D91" s="2" t="s">
        <v>371</v>
      </c>
      <c r="E91" s="2">
        <v>37.799999999999997</v>
      </c>
      <c r="F91" s="2">
        <v>90</v>
      </c>
      <c r="G91" s="2">
        <v>10</v>
      </c>
      <c r="H91" s="2">
        <v>3.47</v>
      </c>
      <c r="I91" s="2">
        <v>1</v>
      </c>
      <c r="J91" s="2">
        <v>520467</v>
      </c>
      <c r="K91" s="2">
        <v>8.4499999999999993</v>
      </c>
      <c r="L91" s="2">
        <v>5</v>
      </c>
      <c r="M91" s="2" t="s">
        <v>190</v>
      </c>
      <c r="N91" s="2">
        <v>8</v>
      </c>
      <c r="O91" s="2" t="s">
        <v>52</v>
      </c>
      <c r="P91" s="2">
        <v>10.029999999999999</v>
      </c>
      <c r="Q91" s="2">
        <v>0</v>
      </c>
      <c r="R91" s="2" t="s">
        <v>99</v>
      </c>
      <c r="S91" s="2">
        <v>13.89</v>
      </c>
      <c r="T91" s="2" t="s">
        <v>69</v>
      </c>
      <c r="U91" s="2">
        <v>68128</v>
      </c>
      <c r="V91" s="2">
        <v>363</v>
      </c>
      <c r="W91" s="2">
        <v>41787</v>
      </c>
      <c r="X91" s="2">
        <v>8924768</v>
      </c>
      <c r="Y91" s="2">
        <v>31.93</v>
      </c>
      <c r="Z91" s="2">
        <v>16</v>
      </c>
      <c r="AA91" s="2" t="s">
        <v>70</v>
      </c>
      <c r="AB91" s="2" t="s">
        <v>37</v>
      </c>
    </row>
    <row r="92" spans="1:28" ht="41.4">
      <c r="A92" s="2" t="s">
        <v>372</v>
      </c>
      <c r="B92" s="2" t="s">
        <v>219</v>
      </c>
      <c r="C92" s="2" t="s">
        <v>373</v>
      </c>
      <c r="D92" s="2" t="s">
        <v>374</v>
      </c>
      <c r="E92" s="2">
        <v>37.6</v>
      </c>
      <c r="F92" s="2">
        <v>91</v>
      </c>
      <c r="G92" s="2">
        <v>32</v>
      </c>
      <c r="H92" s="2">
        <v>2.37</v>
      </c>
      <c r="I92" s="2">
        <v>1</v>
      </c>
      <c r="J92" s="2">
        <v>885441</v>
      </c>
      <c r="K92" s="2">
        <v>4.83</v>
      </c>
      <c r="L92" s="2">
        <v>5</v>
      </c>
      <c r="M92" s="2" t="s">
        <v>190</v>
      </c>
      <c r="N92" s="2">
        <v>6</v>
      </c>
      <c r="O92" s="2" t="s">
        <v>52</v>
      </c>
      <c r="P92" s="2">
        <v>2.99</v>
      </c>
      <c r="Q92" s="2">
        <v>8.19</v>
      </c>
      <c r="R92" s="2" t="s">
        <v>86</v>
      </c>
      <c r="S92" s="2">
        <v>18.09</v>
      </c>
      <c r="T92" s="2" t="s">
        <v>35</v>
      </c>
      <c r="U92" s="2">
        <v>34855</v>
      </c>
      <c r="V92" s="2">
        <v>200</v>
      </c>
      <c r="W92" s="2">
        <v>22048</v>
      </c>
      <c r="X92" s="2">
        <v>4461440</v>
      </c>
      <c r="Y92" s="2">
        <v>21.71</v>
      </c>
      <c r="Z92" s="2">
        <v>14</v>
      </c>
      <c r="AA92" s="2" t="s">
        <v>222</v>
      </c>
      <c r="AB92" s="2" t="s">
        <v>37</v>
      </c>
    </row>
    <row r="93" spans="1:28" ht="41.4">
      <c r="A93" s="2" t="s">
        <v>375</v>
      </c>
      <c r="B93" s="2" t="s">
        <v>336</v>
      </c>
      <c r="C93" s="2" t="s">
        <v>376</v>
      </c>
      <c r="D93" s="2" t="s">
        <v>377</v>
      </c>
      <c r="E93" s="2">
        <v>37.5</v>
      </c>
      <c r="F93" s="2">
        <v>92</v>
      </c>
      <c r="G93" s="2">
        <v>98</v>
      </c>
      <c r="H93" s="2">
        <v>1.23</v>
      </c>
      <c r="I93" s="2">
        <v>2</v>
      </c>
      <c r="J93" s="2">
        <v>345850</v>
      </c>
      <c r="K93" s="2">
        <v>1.04</v>
      </c>
      <c r="L93" s="2">
        <v>0</v>
      </c>
      <c r="M93" s="2" t="s">
        <v>138</v>
      </c>
      <c r="N93" s="2">
        <v>8</v>
      </c>
      <c r="O93" s="2" t="s">
        <v>52</v>
      </c>
      <c r="P93" s="2">
        <v>13.39</v>
      </c>
      <c r="Q93" s="2">
        <v>4.6500000000000004</v>
      </c>
      <c r="R93" s="2" t="s">
        <v>68</v>
      </c>
      <c r="S93" s="2">
        <v>17.84</v>
      </c>
      <c r="T93" s="2" t="s">
        <v>35</v>
      </c>
      <c r="U93" s="2">
        <v>37480</v>
      </c>
      <c r="V93" s="2">
        <v>218</v>
      </c>
      <c r="W93" s="2">
        <v>17675</v>
      </c>
      <c r="X93" s="2">
        <v>4497600</v>
      </c>
      <c r="Y93" s="2">
        <v>30.56</v>
      </c>
      <c r="Z93" s="2">
        <v>14</v>
      </c>
      <c r="AA93" s="2" t="s">
        <v>339</v>
      </c>
      <c r="AB93" s="2" t="s">
        <v>37</v>
      </c>
    </row>
    <row r="94" spans="1:28" ht="41.4">
      <c r="A94" s="2" t="s">
        <v>378</v>
      </c>
      <c r="B94" s="2" t="s">
        <v>96</v>
      </c>
      <c r="C94" s="2" t="s">
        <v>379</v>
      </c>
      <c r="D94" s="2" t="s">
        <v>380</v>
      </c>
      <c r="E94" s="2">
        <v>36.299999999999997</v>
      </c>
      <c r="F94" s="2">
        <v>93</v>
      </c>
      <c r="G94" s="2">
        <v>86</v>
      </c>
      <c r="H94" s="2">
        <v>1.45</v>
      </c>
      <c r="I94" s="2">
        <v>2</v>
      </c>
      <c r="J94" s="2">
        <v>306739</v>
      </c>
      <c r="K94" s="2">
        <v>1.77</v>
      </c>
      <c r="L94" s="2">
        <v>5</v>
      </c>
      <c r="M94" s="2" t="s">
        <v>190</v>
      </c>
      <c r="N94" s="2">
        <v>8</v>
      </c>
      <c r="O94" s="2" t="s">
        <v>52</v>
      </c>
      <c r="P94" s="2">
        <v>14.15</v>
      </c>
      <c r="Q94" s="2">
        <v>0</v>
      </c>
      <c r="R94" s="2" t="s">
        <v>99</v>
      </c>
      <c r="S94" s="2">
        <v>14.67</v>
      </c>
      <c r="T94" s="2" t="s">
        <v>69</v>
      </c>
      <c r="U94" s="2">
        <v>64917</v>
      </c>
      <c r="V94" s="2">
        <v>369</v>
      </c>
      <c r="W94" s="2">
        <v>35433</v>
      </c>
      <c r="X94" s="2">
        <v>7140870</v>
      </c>
      <c r="Y94" s="2">
        <v>33.01</v>
      </c>
      <c r="Z94" s="2">
        <v>15</v>
      </c>
      <c r="AA94" s="2" t="s">
        <v>70</v>
      </c>
      <c r="AB94" s="2" t="s">
        <v>37</v>
      </c>
    </row>
    <row r="95" spans="1:28" ht="41.4">
      <c r="A95" s="2" t="s">
        <v>381</v>
      </c>
      <c r="B95" s="2" t="s">
        <v>96</v>
      </c>
      <c r="C95" s="2" t="s">
        <v>382</v>
      </c>
      <c r="D95" s="2" t="s">
        <v>383</v>
      </c>
      <c r="E95" s="2">
        <v>35.700000000000003</v>
      </c>
      <c r="F95" s="2">
        <v>94</v>
      </c>
      <c r="G95" s="2">
        <v>90</v>
      </c>
      <c r="H95" s="2">
        <v>1.35</v>
      </c>
      <c r="I95" s="2">
        <v>2</v>
      </c>
      <c r="J95" s="2">
        <v>423625</v>
      </c>
      <c r="K95" s="2">
        <v>1.46</v>
      </c>
      <c r="L95" s="2">
        <v>5</v>
      </c>
      <c r="M95" s="2" t="s">
        <v>190</v>
      </c>
      <c r="N95" s="2">
        <v>8</v>
      </c>
      <c r="O95" s="2" t="s">
        <v>52</v>
      </c>
      <c r="P95" s="2">
        <v>11.89</v>
      </c>
      <c r="Q95" s="2">
        <v>0</v>
      </c>
      <c r="R95" s="2" t="s">
        <v>99</v>
      </c>
      <c r="S95" s="2">
        <v>16.440000000000001</v>
      </c>
      <c r="T95" s="2" t="s">
        <v>69</v>
      </c>
      <c r="U95" s="2">
        <v>47803</v>
      </c>
      <c r="V95" s="2">
        <v>256</v>
      </c>
      <c r="W95" s="2">
        <v>23030</v>
      </c>
      <c r="X95" s="2">
        <v>4636891</v>
      </c>
      <c r="Y95" s="2">
        <v>38.22</v>
      </c>
      <c r="Z95" s="2">
        <v>16</v>
      </c>
      <c r="AA95" s="2" t="s">
        <v>70</v>
      </c>
      <c r="AB95" s="2" t="s">
        <v>37</v>
      </c>
    </row>
    <row r="96" spans="1:28" ht="41.4">
      <c r="A96" s="2" t="s">
        <v>384</v>
      </c>
      <c r="B96" s="2" t="s">
        <v>96</v>
      </c>
      <c r="C96" s="2" t="s">
        <v>385</v>
      </c>
      <c r="D96" s="2" t="s">
        <v>386</v>
      </c>
      <c r="E96" s="2">
        <v>35.200000000000003</v>
      </c>
      <c r="F96" s="2">
        <v>95</v>
      </c>
      <c r="G96" s="2">
        <v>85</v>
      </c>
      <c r="H96" s="2">
        <v>1.46</v>
      </c>
      <c r="I96" s="2">
        <v>2</v>
      </c>
      <c r="J96" s="2">
        <v>479931</v>
      </c>
      <c r="K96" s="2">
        <v>1.81</v>
      </c>
      <c r="L96" s="2">
        <v>5</v>
      </c>
      <c r="M96" s="2" t="s">
        <v>190</v>
      </c>
      <c r="N96" s="2">
        <v>8</v>
      </c>
      <c r="O96" s="2" t="s">
        <v>52</v>
      </c>
      <c r="P96" s="2">
        <v>10.81</v>
      </c>
      <c r="Q96" s="2">
        <v>0</v>
      </c>
      <c r="R96" s="2" t="s">
        <v>99</v>
      </c>
      <c r="S96" s="2">
        <v>16.55</v>
      </c>
      <c r="T96" s="2" t="s">
        <v>69</v>
      </c>
      <c r="U96" s="2">
        <v>48767</v>
      </c>
      <c r="V96" s="2">
        <v>302</v>
      </c>
      <c r="W96" s="2">
        <v>28669</v>
      </c>
      <c r="X96" s="2">
        <v>5071768</v>
      </c>
      <c r="Y96" s="2">
        <v>29.8</v>
      </c>
      <c r="Z96" s="2">
        <v>13</v>
      </c>
      <c r="AA96" s="2" t="s">
        <v>70</v>
      </c>
      <c r="AB96" s="2" t="s">
        <v>37</v>
      </c>
    </row>
    <row r="97" spans="1:28" ht="41.4">
      <c r="A97" s="2" t="s">
        <v>387</v>
      </c>
      <c r="B97" s="2" t="s">
        <v>202</v>
      </c>
      <c r="C97" s="2" t="s">
        <v>388</v>
      </c>
      <c r="D97" s="2" t="s">
        <v>389</v>
      </c>
      <c r="E97" s="2">
        <v>35.200000000000003</v>
      </c>
      <c r="F97" s="2">
        <v>96</v>
      </c>
      <c r="G97" s="2">
        <v>89</v>
      </c>
      <c r="H97" s="2">
        <v>1.36</v>
      </c>
      <c r="I97" s="2">
        <v>2</v>
      </c>
      <c r="J97" s="2">
        <v>932128</v>
      </c>
      <c r="K97" s="2">
        <v>1.49</v>
      </c>
      <c r="L97" s="2">
        <v>0</v>
      </c>
      <c r="M97" s="2" t="s">
        <v>138</v>
      </c>
      <c r="N97" s="2">
        <v>15</v>
      </c>
      <c r="O97" s="2" t="s">
        <v>42</v>
      </c>
      <c r="P97" s="2">
        <v>2.08</v>
      </c>
      <c r="Q97" s="2">
        <v>5.69</v>
      </c>
      <c r="R97" s="2" t="s">
        <v>205</v>
      </c>
      <c r="S97" s="2">
        <v>17.91</v>
      </c>
      <c r="T97" s="2" t="s">
        <v>69</v>
      </c>
      <c r="U97" s="2">
        <v>33661</v>
      </c>
      <c r="V97" s="2">
        <v>199</v>
      </c>
      <c r="W97" s="2">
        <v>23863</v>
      </c>
      <c r="X97" s="2">
        <v>4375930</v>
      </c>
      <c r="Y97" s="2">
        <v>24.82</v>
      </c>
      <c r="Z97" s="2">
        <v>14</v>
      </c>
      <c r="AA97" s="2" t="s">
        <v>70</v>
      </c>
      <c r="AB97" s="2" t="s">
        <v>37</v>
      </c>
    </row>
    <row r="98" spans="1:28" ht="41.4">
      <c r="A98" s="2" t="s">
        <v>390</v>
      </c>
      <c r="B98" s="2" t="s">
        <v>96</v>
      </c>
      <c r="C98" s="2" t="s">
        <v>391</v>
      </c>
      <c r="D98" s="2" t="s">
        <v>392</v>
      </c>
      <c r="E98" s="2">
        <v>33.799999999999997</v>
      </c>
      <c r="F98" s="2">
        <v>97</v>
      </c>
      <c r="G98" s="2">
        <v>95</v>
      </c>
      <c r="H98" s="2">
        <v>1.27</v>
      </c>
      <c r="I98" s="2">
        <v>2</v>
      </c>
      <c r="J98" s="2">
        <v>502077</v>
      </c>
      <c r="K98" s="2">
        <v>1.2</v>
      </c>
      <c r="L98" s="2">
        <v>5</v>
      </c>
      <c r="M98" s="2" t="s">
        <v>190</v>
      </c>
      <c r="N98" s="2">
        <v>8</v>
      </c>
      <c r="O98" s="2" t="s">
        <v>52</v>
      </c>
      <c r="P98" s="2">
        <v>10.38</v>
      </c>
      <c r="Q98" s="2">
        <v>0</v>
      </c>
      <c r="R98" s="2" t="s">
        <v>99</v>
      </c>
      <c r="S98" s="2">
        <v>15.95</v>
      </c>
      <c r="T98" s="2" t="s">
        <v>69</v>
      </c>
      <c r="U98" s="2">
        <v>53723</v>
      </c>
      <c r="V98" s="2">
        <v>300</v>
      </c>
      <c r="W98" s="2">
        <v>29070</v>
      </c>
      <c r="X98" s="2">
        <v>6016976</v>
      </c>
      <c r="Y98" s="2">
        <v>30.58</v>
      </c>
      <c r="Z98" s="2">
        <v>15</v>
      </c>
      <c r="AA98" s="2" t="s">
        <v>70</v>
      </c>
      <c r="AB98" s="2" t="s">
        <v>37</v>
      </c>
    </row>
    <row r="99" spans="1:28" ht="41.4">
      <c r="A99" s="2" t="s">
        <v>393</v>
      </c>
      <c r="B99" s="2" t="s">
        <v>359</v>
      </c>
      <c r="C99" s="2" t="s">
        <v>394</v>
      </c>
      <c r="D99" s="2" t="s">
        <v>395</v>
      </c>
      <c r="E99" s="2">
        <v>33</v>
      </c>
      <c r="F99" s="2">
        <v>98</v>
      </c>
      <c r="G99" s="2">
        <v>42</v>
      </c>
      <c r="H99" s="2">
        <v>2.04</v>
      </c>
      <c r="I99" s="2">
        <v>1</v>
      </c>
      <c r="J99" s="2">
        <v>786931</v>
      </c>
      <c r="K99" s="2">
        <v>3.74</v>
      </c>
      <c r="L99" s="2">
        <v>0</v>
      </c>
      <c r="M99" s="2" t="s">
        <v>138</v>
      </c>
      <c r="N99" s="2">
        <v>10</v>
      </c>
      <c r="O99" s="2" t="s">
        <v>59</v>
      </c>
      <c r="P99" s="2">
        <v>4.8899999999999997</v>
      </c>
      <c r="Q99" s="2">
        <v>2.89</v>
      </c>
      <c r="R99" s="2" t="s">
        <v>76</v>
      </c>
      <c r="S99" s="2">
        <v>18.010000000000002</v>
      </c>
      <c r="T99" s="2" t="s">
        <v>35</v>
      </c>
      <c r="U99" s="2">
        <v>31116</v>
      </c>
      <c r="V99" s="2">
        <v>187</v>
      </c>
      <c r="W99" s="2">
        <v>21664</v>
      </c>
      <c r="X99" s="2">
        <v>4325124</v>
      </c>
      <c r="Y99" s="2">
        <v>29.09</v>
      </c>
      <c r="Z99" s="2">
        <v>14</v>
      </c>
      <c r="AA99" s="2" t="s">
        <v>362</v>
      </c>
      <c r="AB99" s="2" t="s">
        <v>37</v>
      </c>
    </row>
    <row r="100" spans="1:28" ht="41.4">
      <c r="A100" s="2" t="s">
        <v>396</v>
      </c>
      <c r="B100" s="2" t="s">
        <v>96</v>
      </c>
      <c r="C100" s="2" t="s">
        <v>397</v>
      </c>
      <c r="D100" s="2" t="s">
        <v>398</v>
      </c>
      <c r="E100" s="2">
        <v>32.6</v>
      </c>
      <c r="F100" s="2">
        <v>99</v>
      </c>
      <c r="G100" s="2">
        <v>33</v>
      </c>
      <c r="H100" s="2">
        <v>2.35</v>
      </c>
      <c r="I100" s="2">
        <v>1</v>
      </c>
      <c r="J100" s="2">
        <v>713594</v>
      </c>
      <c r="K100" s="2">
        <v>4.74</v>
      </c>
      <c r="L100" s="2">
        <v>5</v>
      </c>
      <c r="M100" s="2" t="s">
        <v>190</v>
      </c>
      <c r="N100" s="2">
        <v>8</v>
      </c>
      <c r="O100" s="2" t="s">
        <v>52</v>
      </c>
      <c r="P100" s="2">
        <v>6.3</v>
      </c>
      <c r="Q100" s="2">
        <v>0</v>
      </c>
      <c r="R100" s="2" t="s">
        <v>99</v>
      </c>
      <c r="S100" s="2">
        <v>15.06</v>
      </c>
      <c r="T100" s="2" t="s">
        <v>69</v>
      </c>
      <c r="U100" s="2">
        <v>52134</v>
      </c>
      <c r="V100" s="2">
        <v>320</v>
      </c>
      <c r="W100" s="2">
        <v>31031</v>
      </c>
      <c r="X100" s="2">
        <v>5734740</v>
      </c>
      <c r="Y100" s="2">
        <v>53.87</v>
      </c>
      <c r="Z100" s="2">
        <v>14</v>
      </c>
      <c r="AA100" s="2" t="s">
        <v>70</v>
      </c>
      <c r="AB100" s="2" t="s">
        <v>37</v>
      </c>
    </row>
    <row r="101" spans="1:28" ht="41.4">
      <c r="A101" s="2" t="s">
        <v>399</v>
      </c>
      <c r="B101" s="2" t="s">
        <v>96</v>
      </c>
      <c r="C101" s="2" t="s">
        <v>400</v>
      </c>
      <c r="D101" s="2" t="s">
        <v>401</v>
      </c>
      <c r="E101" s="2">
        <v>31.2</v>
      </c>
      <c r="F101" s="2">
        <v>100</v>
      </c>
      <c r="G101" s="2">
        <v>26</v>
      </c>
      <c r="H101" s="2">
        <v>2.48</v>
      </c>
      <c r="I101" s="2">
        <v>1</v>
      </c>
      <c r="J101" s="2">
        <v>988369</v>
      </c>
      <c r="K101" s="2">
        <v>5.18</v>
      </c>
      <c r="L101" s="2">
        <v>5</v>
      </c>
      <c r="M101" s="2" t="s">
        <v>190</v>
      </c>
      <c r="N101" s="2">
        <v>8</v>
      </c>
      <c r="O101" s="2" t="s">
        <v>52</v>
      </c>
      <c r="P101" s="2">
        <v>1</v>
      </c>
      <c r="Q101" s="2">
        <v>0</v>
      </c>
      <c r="R101" s="2" t="s">
        <v>99</v>
      </c>
      <c r="S101" s="2">
        <v>18.18</v>
      </c>
      <c r="T101" s="2" t="s">
        <v>69</v>
      </c>
      <c r="U101" s="2">
        <v>30173</v>
      </c>
      <c r="V101" s="2">
        <v>233</v>
      </c>
      <c r="W101" s="2">
        <v>22125</v>
      </c>
      <c r="X101" s="2">
        <v>3137992</v>
      </c>
      <c r="Y101" s="2">
        <v>34.14</v>
      </c>
      <c r="Z101" s="2">
        <v>11</v>
      </c>
      <c r="AA101" s="2" t="s">
        <v>70</v>
      </c>
      <c r="AB101" s="2" t="s">
        <v>37</v>
      </c>
    </row>
  </sheetData>
  <conditionalFormatting sqref="E2:E1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3.8"/>
  <cols>
    <col min="1" max="1" width="20" customWidth="1"/>
    <col min="2" max="2" width="34" customWidth="1"/>
    <col min="3" max="3" width="16" customWidth="1"/>
    <col min="4" max="4" width="26" customWidth="1"/>
    <col min="5" max="5" width="14" customWidth="1"/>
    <col min="6" max="6" width="26" customWidth="1"/>
    <col min="7" max="7" width="52" customWidth="1"/>
    <col min="8" max="8" width="14" customWidth="1"/>
  </cols>
  <sheetData>
    <row r="1" spans="1:8">
      <c r="A1" s="1" t="s">
        <v>402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</row>
    <row r="2" spans="1:8" ht="55.2">
      <c r="A2" s="2" t="s">
        <v>410</v>
      </c>
      <c r="B2" s="2" t="s">
        <v>411</v>
      </c>
      <c r="C2" s="2" t="s">
        <v>412</v>
      </c>
      <c r="D2" s="2" t="s">
        <v>10</v>
      </c>
      <c r="E2" s="2" t="s">
        <v>413</v>
      </c>
      <c r="F2" s="2" t="s">
        <v>414</v>
      </c>
      <c r="G2" s="2" t="s">
        <v>415</v>
      </c>
      <c r="H2" s="2">
        <v>3</v>
      </c>
    </row>
    <row r="3" spans="1:8" ht="41.4">
      <c r="A3" s="2" t="s">
        <v>416</v>
      </c>
      <c r="B3" s="2" t="s">
        <v>417</v>
      </c>
      <c r="C3" s="2" t="s">
        <v>418</v>
      </c>
      <c r="D3" s="2" t="s">
        <v>11</v>
      </c>
      <c r="E3" s="2" t="s">
        <v>413</v>
      </c>
      <c r="F3" s="2" t="s">
        <v>419</v>
      </c>
      <c r="G3" s="2" t="s">
        <v>420</v>
      </c>
      <c r="H3" s="2">
        <v>3</v>
      </c>
    </row>
    <row r="4" spans="1:8" ht="55.2">
      <c r="A4" s="2" t="s">
        <v>421</v>
      </c>
      <c r="B4" s="2" t="s">
        <v>422</v>
      </c>
      <c r="C4" s="2" t="s">
        <v>423</v>
      </c>
      <c r="D4" s="2" t="s">
        <v>13</v>
      </c>
      <c r="E4" s="2" t="s">
        <v>413</v>
      </c>
      <c r="F4" s="2" t="s">
        <v>424</v>
      </c>
      <c r="G4" s="2" t="s">
        <v>425</v>
      </c>
      <c r="H4" s="2">
        <v>3</v>
      </c>
    </row>
    <row r="5" spans="1:8" ht="55.2">
      <c r="A5" s="2" t="s">
        <v>426</v>
      </c>
      <c r="B5" s="2" t="s">
        <v>427</v>
      </c>
      <c r="C5" s="2" t="s">
        <v>428</v>
      </c>
      <c r="D5" s="2" t="s">
        <v>15</v>
      </c>
      <c r="E5" s="2" t="s">
        <v>413</v>
      </c>
      <c r="F5" s="2" t="s">
        <v>429</v>
      </c>
      <c r="G5" s="2" t="s">
        <v>430</v>
      </c>
      <c r="H5" s="2">
        <v>3</v>
      </c>
    </row>
    <row r="6" spans="1:8" ht="69">
      <c r="A6" s="2" t="s">
        <v>431</v>
      </c>
      <c r="B6" s="2" t="s">
        <v>432</v>
      </c>
      <c r="C6" s="2" t="s">
        <v>433</v>
      </c>
      <c r="D6" s="2" t="s">
        <v>16</v>
      </c>
      <c r="E6" s="2" t="s">
        <v>413</v>
      </c>
      <c r="F6" s="2" t="s">
        <v>434</v>
      </c>
      <c r="G6" s="2" t="s">
        <v>435</v>
      </c>
      <c r="H6" s="2">
        <v>3</v>
      </c>
    </row>
    <row r="7" spans="1:8" ht="69">
      <c r="A7" s="2" t="s">
        <v>436</v>
      </c>
      <c r="B7" s="2" t="s">
        <v>437</v>
      </c>
      <c r="C7" s="2" t="s">
        <v>438</v>
      </c>
      <c r="D7" s="2" t="s">
        <v>18</v>
      </c>
      <c r="E7" s="2" t="s">
        <v>413</v>
      </c>
      <c r="F7" s="2" t="s">
        <v>439</v>
      </c>
      <c r="G7" s="2" t="s">
        <v>440</v>
      </c>
      <c r="H7" s="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cols>
    <col min="1" max="1" width="20" customWidth="1"/>
    <col min="2" max="2" width="110" customWidth="1"/>
  </cols>
  <sheetData>
    <row r="1" spans="1:2">
      <c r="A1" s="3" t="s">
        <v>441</v>
      </c>
      <c r="B1" s="4" t="s">
        <v>442</v>
      </c>
    </row>
    <row r="2" spans="1:2">
      <c r="A2" s="3" t="s">
        <v>443</v>
      </c>
      <c r="B2" s="4" t="s">
        <v>444</v>
      </c>
    </row>
    <row r="3" spans="1:2">
      <c r="A3" s="3" t="s">
        <v>445</v>
      </c>
      <c r="B3" s="4" t="s">
        <v>446</v>
      </c>
    </row>
    <row r="4" spans="1:2">
      <c r="A4" s="3" t="s">
        <v>447</v>
      </c>
      <c r="B4" s="4" t="s">
        <v>448</v>
      </c>
    </row>
    <row r="5" spans="1:2">
      <c r="A5" s="3" t="s">
        <v>449</v>
      </c>
      <c r="B5" s="4" t="s">
        <v>450</v>
      </c>
    </row>
    <row r="6" spans="1:2">
      <c r="A6" s="3" t="s">
        <v>451</v>
      </c>
      <c r="B6" s="4" t="s">
        <v>452</v>
      </c>
    </row>
    <row r="7" spans="1:2">
      <c r="A7" s="3" t="s">
        <v>453</v>
      </c>
      <c r="B7" s="4" t="s">
        <v>454</v>
      </c>
    </row>
    <row r="8" spans="1:2">
      <c r="A8" s="3" t="s">
        <v>453</v>
      </c>
      <c r="B8" s="4" t="s">
        <v>455</v>
      </c>
    </row>
    <row r="9" spans="1:2" ht="27.6">
      <c r="A9" s="3" t="s">
        <v>456</v>
      </c>
      <c r="B9" s="4" t="s">
        <v>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workbookViewId="0"/>
  </sheetViews>
  <sheetFormatPr defaultRowHeight="13.8"/>
  <cols>
    <col min="1" max="1" width="20" customWidth="1"/>
    <col min="2" max="2" width="38" customWidth="1"/>
    <col min="3" max="3" width="14" customWidth="1"/>
    <col min="4" max="4" width="26" customWidth="1"/>
    <col min="6" max="6" width="22" customWidth="1"/>
    <col min="7" max="7" width="26" customWidth="1"/>
    <col min="8" max="8" width="18" customWidth="1"/>
  </cols>
  <sheetData>
    <row r="1" spans="1:8" ht="27.6">
      <c r="A1" s="1" t="s">
        <v>402</v>
      </c>
      <c r="B1" s="1" t="s">
        <v>403</v>
      </c>
      <c r="C1" s="1" t="s">
        <v>458</v>
      </c>
      <c r="D1" s="1" t="s">
        <v>405</v>
      </c>
      <c r="E1" s="1"/>
      <c r="F1" s="1" t="s">
        <v>0</v>
      </c>
      <c r="G1" s="1" t="s">
        <v>3</v>
      </c>
      <c r="H1" s="1" t="s">
        <v>459</v>
      </c>
    </row>
    <row r="2" spans="1:8">
      <c r="A2" s="2" t="s">
        <v>410</v>
      </c>
      <c r="B2" s="2" t="s">
        <v>411</v>
      </c>
      <c r="C2" s="2">
        <v>3</v>
      </c>
      <c r="D2" s="2" t="s">
        <v>10</v>
      </c>
      <c r="E2" s="2"/>
      <c r="F2" s="2" t="str">
        <f>districts_app!A2</f>
        <v>trabzon-ortahisar</v>
      </c>
      <c r="G2" s="2" t="str">
        <f>districts_app!D2</f>
        <v>Trabzon / Ortahisar</v>
      </c>
      <c r="H2" s="2">
        <f>((districts_app!K2*$C$2)+(districts_app!L2*$C$3)+(districts_app!N2*$C$4)+(districts_app!P2*$C$5)+(districts_app!Q2*$C$6)+(districts_app!S2*$C$7))/SUM($C$2:$C$7)*5</f>
        <v>74.908333333333317</v>
      </c>
    </row>
    <row r="3" spans="1:8">
      <c r="A3" s="2" t="s">
        <v>416</v>
      </c>
      <c r="B3" s="2" t="s">
        <v>417</v>
      </c>
      <c r="C3" s="2">
        <v>3</v>
      </c>
      <c r="D3" s="2" t="s">
        <v>11</v>
      </c>
      <c r="E3" s="2"/>
      <c r="F3" s="2" t="str">
        <f>districts_app!A3</f>
        <v>samsun-atakum</v>
      </c>
      <c r="G3" s="2" t="str">
        <f>districts_app!D3</f>
        <v>Samsun / Atakum</v>
      </c>
      <c r="H3" s="2">
        <f>((districts_app!K3*$C$2)+(districts_app!L3*$C$3)+(districts_app!N3*$C$4)+(districts_app!P3*$C$5)+(districts_app!Q3*$C$6)+(districts_app!S3*$C$7))/SUM($C$2:$C$7)*5</f>
        <v>74.316666666666663</v>
      </c>
    </row>
    <row r="4" spans="1:8">
      <c r="A4" s="2" t="s">
        <v>421</v>
      </c>
      <c r="B4" s="2" t="s">
        <v>422</v>
      </c>
      <c r="C4" s="2">
        <v>3</v>
      </c>
      <c r="D4" s="2" t="s">
        <v>13</v>
      </c>
      <c r="E4" s="2"/>
      <c r="F4" s="2" t="str">
        <f>districts_app!A4</f>
        <v>samsun-ilkadim</v>
      </c>
      <c r="G4" s="2" t="str">
        <f>districts_app!D4</f>
        <v>Samsun / İlkadım</v>
      </c>
      <c r="H4" s="2">
        <f>((districts_app!K4*$C$2)+(districts_app!L4*$C$3)+(districts_app!N4*$C$4)+(districts_app!P4*$C$5)+(districts_app!Q4*$C$6)+(districts_app!S4*$C$7))/SUM($C$2:$C$7)*5</f>
        <v>72.074999999999989</v>
      </c>
    </row>
    <row r="5" spans="1:8">
      <c r="A5" s="2" t="s">
        <v>426</v>
      </c>
      <c r="B5" s="2" t="s">
        <v>427</v>
      </c>
      <c r="C5" s="2">
        <v>3</v>
      </c>
      <c r="D5" s="2" t="s">
        <v>15</v>
      </c>
      <c r="E5" s="2"/>
      <c r="F5" s="2" t="str">
        <f>districts_app!A5</f>
        <v>canakkale-bozcaada</v>
      </c>
      <c r="G5" s="2" t="str">
        <f>districts_app!D5</f>
        <v>Çanakkale / Bozcaada</v>
      </c>
      <c r="H5" s="2">
        <f>((districts_app!K5*$C$2)+(districts_app!L5*$C$3)+(districts_app!N5*$C$4)+(districts_app!P5*$C$5)+(districts_app!Q5*$C$6)+(districts_app!S5*$C$7))/SUM($C$2:$C$7)*5</f>
        <v>64.850000000000009</v>
      </c>
    </row>
    <row r="6" spans="1:8">
      <c r="A6" s="2" t="s">
        <v>431</v>
      </c>
      <c r="B6" s="2" t="s">
        <v>432</v>
      </c>
      <c r="C6" s="2">
        <v>3</v>
      </c>
      <c r="D6" s="2" t="s">
        <v>16</v>
      </c>
      <c r="E6" s="2"/>
      <c r="F6" s="2" t="str">
        <f>districts_app!A6</f>
        <v>tekirdag-suleymanpasa</v>
      </c>
      <c r="G6" s="2" t="str">
        <f>districts_app!D6</f>
        <v>Tekirdağ / Süleymanpaşa</v>
      </c>
      <c r="H6" s="2">
        <f>((districts_app!K6*$C$2)+(districts_app!L6*$C$3)+(districts_app!N6*$C$4)+(districts_app!P6*$C$5)+(districts_app!Q6*$C$6)+(districts_app!S6*$C$7))/SUM($C$2:$C$7)*5</f>
        <v>63.625000000000007</v>
      </c>
    </row>
    <row r="7" spans="1:8">
      <c r="A7" s="2" t="s">
        <v>436</v>
      </c>
      <c r="B7" s="2" t="s">
        <v>437</v>
      </c>
      <c r="C7" s="2">
        <v>3</v>
      </c>
      <c r="D7" s="2" t="s">
        <v>18</v>
      </c>
      <c r="E7" s="2"/>
      <c r="F7" s="2" t="str">
        <f>districts_app!A7</f>
        <v>canakkale-merkez</v>
      </c>
      <c r="G7" s="2" t="str">
        <f>districts_app!D7</f>
        <v>Çanakkale / Merkez</v>
      </c>
      <c r="H7" s="2">
        <f>((districts_app!K7*$C$2)+(districts_app!L7*$C$3)+(districts_app!N7*$C$4)+(districts_app!P7*$C$5)+(districts_app!Q7*$C$6)+(districts_app!S7*$C$7))/SUM($C$2:$C$7)*5</f>
        <v>62.074999999999996</v>
      </c>
    </row>
    <row r="8" spans="1:8">
      <c r="A8" s="2"/>
      <c r="B8" s="2"/>
      <c r="C8" s="2"/>
      <c r="D8" s="2"/>
      <c r="E8" s="2"/>
      <c r="F8" s="2" t="str">
        <f>districts_app!A8</f>
        <v>izmir-balcova</v>
      </c>
      <c r="G8" s="2" t="str">
        <f>districts_app!D8</f>
        <v>İzmir / Balçova</v>
      </c>
      <c r="H8" s="2">
        <f>((districts_app!K8*$C$2)+(districts_app!L8*$C$3)+(districts_app!N8*$C$4)+(districts_app!P8*$C$5)+(districts_app!Q8*$C$6)+(districts_app!S8*$C$7))/SUM($C$2:$C$7)*5</f>
        <v>60.566666666666656</v>
      </c>
    </row>
    <row r="9" spans="1:8">
      <c r="A9" s="2"/>
      <c r="B9" s="2"/>
      <c r="C9" s="2"/>
      <c r="D9" s="2"/>
      <c r="E9" s="2"/>
      <c r="F9" s="2" t="str">
        <f>districts_app!A9</f>
        <v>mersin-yenisehir</v>
      </c>
      <c r="G9" s="2" t="str">
        <f>districts_app!D9</f>
        <v>Mersin / Yenişehir</v>
      </c>
      <c r="H9" s="2">
        <f>((districts_app!K9*$C$2)+(districts_app!L9*$C$3)+(districts_app!N9*$C$4)+(districts_app!P9*$C$5)+(districts_app!Q9*$C$6)+(districts_app!S9*$C$7))/SUM($C$2:$C$7)*5</f>
        <v>59.783333333333331</v>
      </c>
    </row>
    <row r="10" spans="1:8">
      <c r="A10" s="2"/>
      <c r="B10" s="2"/>
      <c r="C10" s="2"/>
      <c r="D10" s="2"/>
      <c r="E10" s="2"/>
      <c r="F10" s="2" t="str">
        <f>districts_app!A10</f>
        <v>izmir-konak</v>
      </c>
      <c r="G10" s="2" t="str">
        <f>districts_app!D10</f>
        <v>İzmir / Konak</v>
      </c>
      <c r="H10" s="2">
        <f>((districts_app!K10*$C$2)+(districts_app!L10*$C$3)+(districts_app!N10*$C$4)+(districts_app!P10*$C$5)+(districts_app!Q10*$C$6)+(districts_app!S10*$C$7))/SUM($C$2:$C$7)*5</f>
        <v>59.15</v>
      </c>
    </row>
    <row r="11" spans="1:8">
      <c r="A11" s="2"/>
      <c r="B11" s="2"/>
      <c r="C11" s="2"/>
      <c r="D11" s="2"/>
      <c r="E11" s="2"/>
      <c r="F11" s="2" t="str">
        <f>districts_app!A11</f>
        <v>kocaeli-basiskele</v>
      </c>
      <c r="G11" s="2" t="str">
        <f>districts_app!D11</f>
        <v>Kocaeli / Başiskele</v>
      </c>
      <c r="H11" s="2">
        <f>((districts_app!K11*$C$2)+(districts_app!L11*$C$3)+(districts_app!N11*$C$4)+(districts_app!P11*$C$5)+(districts_app!Q11*$C$6)+(districts_app!S11*$C$7))/SUM($C$2:$C$7)*5</f>
        <v>58.61666666666666</v>
      </c>
    </row>
    <row r="12" spans="1:8">
      <c r="A12" s="2"/>
      <c r="B12" s="2"/>
      <c r="C12" s="2"/>
      <c r="D12" s="2"/>
      <c r="E12" s="2"/>
      <c r="F12" s="2" t="str">
        <f>districts_app!A12</f>
        <v>antalya-konyaalti</v>
      </c>
      <c r="G12" s="2" t="str">
        <f>districts_app!D12</f>
        <v>Antalya / Konyaaltı</v>
      </c>
      <c r="H12" s="2">
        <f>((districts_app!K12*$C$2)+(districts_app!L12*$C$3)+(districts_app!N12*$C$4)+(districts_app!P12*$C$5)+(districts_app!Q12*$C$6)+(districts_app!S12*$C$7))/SUM($C$2:$C$7)*5</f>
        <v>58.283333333333331</v>
      </c>
    </row>
    <row r="13" spans="1:8">
      <c r="A13" s="2"/>
      <c r="B13" s="2"/>
      <c r="C13" s="2"/>
      <c r="D13" s="2"/>
      <c r="E13" s="2"/>
      <c r="F13" s="2" t="str">
        <f>districts_app!A13</f>
        <v>antalya-kemer</v>
      </c>
      <c r="G13" s="2" t="str">
        <f>districts_app!D13</f>
        <v>Antalya / Kemer</v>
      </c>
      <c r="H13" s="2">
        <f>((districts_app!K13*$C$2)+(districts_app!L13*$C$3)+(districts_app!N13*$C$4)+(districts_app!P13*$C$5)+(districts_app!Q13*$C$6)+(districts_app!S13*$C$7))/SUM($C$2:$C$7)*5</f>
        <v>57.508333333333326</v>
      </c>
    </row>
    <row r="14" spans="1:8">
      <c r="A14" s="2"/>
      <c r="B14" s="2"/>
      <c r="C14" s="2"/>
      <c r="D14" s="2"/>
      <c r="E14" s="2"/>
      <c r="F14" s="2" t="str">
        <f>districts_app!A14</f>
        <v>istanbul-fatih</v>
      </c>
      <c r="G14" s="2" t="str">
        <f>districts_app!D14</f>
        <v>İstanbul / Fatih</v>
      </c>
      <c r="H14" s="2">
        <f>((districts_app!K14*$C$2)+(districts_app!L14*$C$3)+(districts_app!N14*$C$4)+(districts_app!P14*$C$5)+(districts_app!Q14*$C$6)+(districts_app!S14*$C$7))/SUM($C$2:$C$7)*5</f>
        <v>57.091666666666669</v>
      </c>
    </row>
    <row r="15" spans="1:8">
      <c r="A15" s="2"/>
      <c r="B15" s="2"/>
      <c r="C15" s="2"/>
      <c r="D15" s="2"/>
      <c r="E15" s="2"/>
      <c r="F15" s="2" t="str">
        <f>districts_app!A15</f>
        <v>antalya-manavgat</v>
      </c>
      <c r="G15" s="2" t="str">
        <f>districts_app!D15</f>
        <v>Antalya / Manavgat</v>
      </c>
      <c r="H15" s="2">
        <f>((districts_app!K15*$C$2)+(districts_app!L15*$C$3)+(districts_app!N15*$C$4)+(districts_app!P15*$C$5)+(districts_app!Q15*$C$6)+(districts_app!S15*$C$7))/SUM($C$2:$C$7)*5</f>
        <v>57.058333333333323</v>
      </c>
    </row>
    <row r="16" spans="1:8">
      <c r="A16" s="2"/>
      <c r="B16" s="2"/>
      <c r="C16" s="2"/>
      <c r="D16" s="2"/>
      <c r="E16" s="2"/>
      <c r="F16" s="2" t="str">
        <f>districts_app!A16</f>
        <v>aydin-kusadasi</v>
      </c>
      <c r="G16" s="2" t="str">
        <f>districts_app!D16</f>
        <v>Aydın / Kuşadası</v>
      </c>
      <c r="H16" s="2">
        <f>((districts_app!K16*$C$2)+(districts_app!L16*$C$3)+(districts_app!N16*$C$4)+(districts_app!P16*$C$5)+(districts_app!Q16*$C$6)+(districts_app!S16*$C$7))/SUM($C$2:$C$7)*5</f>
        <v>56.916666666666664</v>
      </c>
    </row>
    <row r="17" spans="1:8">
      <c r="A17" s="2"/>
      <c r="B17" s="2"/>
      <c r="C17" s="2"/>
      <c r="D17" s="2"/>
      <c r="E17" s="2"/>
      <c r="F17" s="2" t="str">
        <f>districts_app!A17</f>
        <v>antalya-muratpasa</v>
      </c>
      <c r="G17" s="2" t="str">
        <f>districts_app!D17</f>
        <v>Antalya / Muratpaşa</v>
      </c>
      <c r="H17" s="2">
        <f>((districts_app!K17*$C$2)+(districts_app!L17*$C$3)+(districts_app!N17*$C$4)+(districts_app!P17*$C$5)+(districts_app!Q17*$C$6)+(districts_app!S17*$C$7))/SUM($C$2:$C$7)*5</f>
        <v>56.849999999999987</v>
      </c>
    </row>
    <row r="18" spans="1:8">
      <c r="A18" s="2"/>
      <c r="B18" s="2"/>
      <c r="C18" s="2"/>
      <c r="D18" s="2"/>
      <c r="E18" s="2"/>
      <c r="F18" s="2" t="str">
        <f>districts_app!A18</f>
        <v>mugla-marmaris</v>
      </c>
      <c r="G18" s="2" t="str">
        <f>districts_app!D18</f>
        <v>Muğla / Marmaris</v>
      </c>
      <c r="H18" s="2">
        <f>((districts_app!K18*$C$2)+(districts_app!L18*$C$3)+(districts_app!N18*$C$4)+(districts_app!P18*$C$5)+(districts_app!Q18*$C$6)+(districts_app!S18*$C$7))/SUM($C$2:$C$7)*5</f>
        <v>56.516666666666666</v>
      </c>
    </row>
    <row r="19" spans="1:8">
      <c r="A19" s="2"/>
      <c r="B19" s="2"/>
      <c r="C19" s="2"/>
      <c r="D19" s="2"/>
      <c r="E19" s="2"/>
      <c r="F19" s="2" t="str">
        <f>districts_app!A19</f>
        <v>izmir-cigli</v>
      </c>
      <c r="G19" s="2" t="str">
        <f>districts_app!D19</f>
        <v>İzmir / Çiğli</v>
      </c>
      <c r="H19" s="2">
        <f>((districts_app!K19*$C$2)+(districts_app!L19*$C$3)+(districts_app!N19*$C$4)+(districts_app!P19*$C$5)+(districts_app!Q19*$C$6)+(districts_app!S19*$C$7))/SUM($C$2:$C$7)*5</f>
        <v>56.433333333333323</v>
      </c>
    </row>
    <row r="20" spans="1:8">
      <c r="A20" s="2"/>
      <c r="B20" s="2"/>
      <c r="C20" s="2"/>
      <c r="D20" s="2"/>
      <c r="E20" s="2"/>
      <c r="F20" s="2" t="str">
        <f>districts_app!A20</f>
        <v>tekirdag-corlu</v>
      </c>
      <c r="G20" s="2" t="str">
        <f>districts_app!D20</f>
        <v>Tekirdağ / Çorlu</v>
      </c>
      <c r="H20" s="2">
        <f>((districts_app!K20*$C$2)+(districts_app!L20*$C$3)+(districts_app!N20*$C$4)+(districts_app!P20*$C$5)+(districts_app!Q20*$C$6)+(districts_app!S20*$C$7))/SUM($C$2:$C$7)*5</f>
        <v>56.44166666666667</v>
      </c>
    </row>
    <row r="21" spans="1:8">
      <c r="A21" s="2"/>
      <c r="B21" s="2"/>
      <c r="C21" s="2"/>
      <c r="D21" s="2"/>
      <c r="E21" s="2"/>
      <c r="F21" s="2" t="str">
        <f>districts_app!A21</f>
        <v>kocaeli-gebze</v>
      </c>
      <c r="G21" s="2" t="str">
        <f>districts_app!D21</f>
        <v>Kocaeli / Gebze</v>
      </c>
      <c r="H21" s="2">
        <f>((districts_app!K21*$C$2)+(districts_app!L21*$C$3)+(districts_app!N21*$C$4)+(districts_app!P21*$C$5)+(districts_app!Q21*$C$6)+(districts_app!S21*$C$7))/SUM($C$2:$C$7)*5</f>
        <v>56.141666666666666</v>
      </c>
    </row>
    <row r="22" spans="1:8">
      <c r="A22" s="2"/>
      <c r="B22" s="2"/>
      <c r="C22" s="2"/>
      <c r="D22" s="2"/>
      <c r="E22" s="2"/>
      <c r="F22" s="2" t="str">
        <f>districts_app!A22</f>
        <v>istanbul-besiktas</v>
      </c>
      <c r="G22" s="2" t="str">
        <f>districts_app!D22</f>
        <v>İstanbul / Beşiktaş</v>
      </c>
      <c r="H22" s="2">
        <f>((districts_app!K22*$C$2)+(districts_app!L22*$C$3)+(districts_app!N22*$C$4)+(districts_app!P22*$C$5)+(districts_app!Q22*$C$6)+(districts_app!S22*$C$7))/SUM($C$2:$C$7)*5</f>
        <v>55.991666666666653</v>
      </c>
    </row>
    <row r="23" spans="1:8">
      <c r="A23" s="2"/>
      <c r="B23" s="2"/>
      <c r="C23" s="2"/>
      <c r="D23" s="2"/>
      <c r="E23" s="2"/>
      <c r="F23" s="2" t="str">
        <f>districts_app!A23</f>
        <v>kocaeli-izmit</v>
      </c>
      <c r="G23" s="2" t="str">
        <f>districts_app!D23</f>
        <v>Kocaeli / İzmit</v>
      </c>
      <c r="H23" s="2">
        <f>((districts_app!K23*$C$2)+(districts_app!L23*$C$3)+(districts_app!N23*$C$4)+(districts_app!P23*$C$5)+(districts_app!Q23*$C$6)+(districts_app!S23*$C$7))/SUM($C$2:$C$7)*5</f>
        <v>55.783333333333331</v>
      </c>
    </row>
    <row r="24" spans="1:8">
      <c r="A24" s="2"/>
      <c r="B24" s="2"/>
      <c r="C24" s="2"/>
      <c r="D24" s="2"/>
      <c r="E24" s="2"/>
      <c r="F24" s="2" t="str">
        <f>districts_app!A24</f>
        <v>mugla-fethiye</v>
      </c>
      <c r="G24" s="2" t="str">
        <f>districts_app!D24</f>
        <v>Muğla / Fethiye</v>
      </c>
      <c r="H24" s="2">
        <f>((districts_app!K24*$C$2)+(districts_app!L24*$C$3)+(districts_app!N24*$C$4)+(districts_app!P24*$C$5)+(districts_app!Q24*$C$6)+(districts_app!S24*$C$7))/SUM($C$2:$C$7)*5</f>
        <v>55.516666666666666</v>
      </c>
    </row>
    <row r="25" spans="1:8">
      <c r="A25" s="2"/>
      <c r="B25" s="2"/>
      <c r="C25" s="2"/>
      <c r="D25" s="2"/>
      <c r="E25" s="2"/>
      <c r="F25" s="2" t="str">
        <f>districts_app!A25</f>
        <v>erzurum-yakutiye</v>
      </c>
      <c r="G25" s="2" t="str">
        <f>districts_app!D25</f>
        <v>Erzurum / Yakutiye</v>
      </c>
      <c r="H25" s="2">
        <f>((districts_app!K25*$C$2)+(districts_app!L25*$C$3)+(districts_app!N25*$C$4)+(districts_app!P25*$C$5)+(districts_app!Q25*$C$6)+(districts_app!S25*$C$7))/SUM($C$2:$C$7)*5</f>
        <v>55.508333333333333</v>
      </c>
    </row>
    <row r="26" spans="1:8">
      <c r="A26" s="2"/>
      <c r="B26" s="2"/>
      <c r="C26" s="2"/>
      <c r="D26" s="2"/>
      <c r="E26" s="2"/>
      <c r="F26" s="2" t="str">
        <f>districts_app!A26</f>
        <v>antalya-alanya</v>
      </c>
      <c r="G26" s="2" t="str">
        <f>districts_app!D26</f>
        <v>Antalya / Alanya</v>
      </c>
      <c r="H26" s="2">
        <f>((districts_app!K26*$C$2)+(districts_app!L26*$C$3)+(districts_app!N26*$C$4)+(districts_app!P26*$C$5)+(districts_app!Q26*$C$6)+(districts_app!S26*$C$7))/SUM($C$2:$C$7)*5</f>
        <v>55.108333333333334</v>
      </c>
    </row>
    <row r="27" spans="1:8">
      <c r="A27" s="2"/>
      <c r="B27" s="2"/>
      <c r="C27" s="2"/>
      <c r="D27" s="2"/>
      <c r="E27" s="2"/>
      <c r="F27" s="2" t="str">
        <f>districts_app!A27</f>
        <v>izmir-bornova</v>
      </c>
      <c r="G27" s="2" t="str">
        <f>districts_app!D27</f>
        <v>İzmir / Bornova</v>
      </c>
      <c r="H27" s="2">
        <f>((districts_app!K27*$C$2)+(districts_app!L27*$C$3)+(districts_app!N27*$C$4)+(districts_app!P27*$C$5)+(districts_app!Q27*$C$6)+(districts_app!S27*$C$7))/SUM($C$2:$C$7)*5</f>
        <v>54.93333333333333</v>
      </c>
    </row>
    <row r="28" spans="1:8">
      <c r="A28" s="2"/>
      <c r="B28" s="2"/>
      <c r="C28" s="2"/>
      <c r="D28" s="2"/>
      <c r="E28" s="2"/>
      <c r="F28" s="2" t="str">
        <f>districts_app!A28</f>
        <v>mugla-bodrum</v>
      </c>
      <c r="G28" s="2" t="str">
        <f>districts_app!D28</f>
        <v>Muğla / Bodrum</v>
      </c>
      <c r="H28" s="2">
        <f>((districts_app!K28*$C$2)+(districts_app!L28*$C$3)+(districts_app!N28*$C$4)+(districts_app!P28*$C$5)+(districts_app!Q28*$C$6)+(districts_app!S28*$C$7))/SUM($C$2:$C$7)*5</f>
        <v>54.841666666666661</v>
      </c>
    </row>
    <row r="29" spans="1:8">
      <c r="A29" s="2"/>
      <c r="B29" s="2"/>
      <c r="C29" s="2"/>
      <c r="D29" s="2"/>
      <c r="E29" s="2"/>
      <c r="F29" s="2" t="str">
        <f>districts_app!A29</f>
        <v>istanbul-beyoglu</v>
      </c>
      <c r="G29" s="2" t="str">
        <f>districts_app!D29</f>
        <v>İstanbul / Beyoğlu</v>
      </c>
      <c r="H29" s="2">
        <f>((districts_app!K29*$C$2)+(districts_app!L29*$C$3)+(districts_app!N29*$C$4)+(districts_app!P29*$C$5)+(districts_app!Q29*$C$6)+(districts_app!S29*$C$7))/SUM($C$2:$C$7)*5</f>
        <v>54.45</v>
      </c>
    </row>
    <row r="30" spans="1:8">
      <c r="A30" s="2"/>
      <c r="B30" s="2"/>
      <c r="C30" s="2"/>
      <c r="D30" s="2"/>
      <c r="E30" s="2"/>
      <c r="F30" s="2" t="str">
        <f>districts_app!A30</f>
        <v>kirikkale-yahsihan</v>
      </c>
      <c r="G30" s="2" t="str">
        <f>districts_app!D30</f>
        <v>Kırıkkale / Yahşihan</v>
      </c>
      <c r="H30" s="2">
        <f>((districts_app!K30*$C$2)+(districts_app!L30*$C$3)+(districts_app!N30*$C$4)+(districts_app!P30*$C$5)+(districts_app!Q30*$C$6)+(districts_app!S30*$C$7))/SUM($C$2:$C$7)*5</f>
        <v>54.56666666666667</v>
      </c>
    </row>
    <row r="31" spans="1:8">
      <c r="A31" s="2"/>
      <c r="B31" s="2"/>
      <c r="C31" s="2"/>
      <c r="D31" s="2"/>
      <c r="E31" s="2"/>
      <c r="F31" s="2" t="str">
        <f>districts_app!A31</f>
        <v>izmir-narlidere</v>
      </c>
      <c r="G31" s="2" t="str">
        <f>districts_app!D31</f>
        <v>İzmir / Narlıdere</v>
      </c>
      <c r="H31" s="2">
        <f>((districts_app!K31*$C$2)+(districts_app!L31*$C$3)+(districts_app!N31*$C$4)+(districts_app!P31*$C$5)+(districts_app!Q31*$C$6)+(districts_app!S31*$C$7))/SUM($C$2:$C$7)*5</f>
        <v>54.258333333333333</v>
      </c>
    </row>
    <row r="32" spans="1:8">
      <c r="A32" s="2"/>
      <c r="B32" s="2"/>
      <c r="C32" s="2"/>
      <c r="D32" s="2"/>
      <c r="E32" s="2"/>
      <c r="F32" s="2" t="str">
        <f>districts_app!A32</f>
        <v>izmir-karsiyaka</v>
      </c>
      <c r="G32" s="2" t="str">
        <f>districts_app!D32</f>
        <v>İzmir / Karşıyaka</v>
      </c>
      <c r="H32" s="2">
        <f>((districts_app!K32*$C$2)+(districts_app!L32*$C$3)+(districts_app!N32*$C$4)+(districts_app!P32*$C$5)+(districts_app!Q32*$C$6)+(districts_app!S32*$C$7))/SUM($C$2:$C$7)*5</f>
        <v>54.083333333333329</v>
      </c>
    </row>
    <row r="33" spans="1:8">
      <c r="A33" s="2"/>
      <c r="B33" s="2"/>
      <c r="C33" s="2"/>
      <c r="D33" s="2"/>
      <c r="E33" s="2"/>
      <c r="F33" s="2" t="str">
        <f>districts_app!A33</f>
        <v>izmir-bayrakli</v>
      </c>
      <c r="G33" s="2" t="str">
        <f>districts_app!D33</f>
        <v>İzmir / Bayraklı</v>
      </c>
      <c r="H33" s="2">
        <f>((districts_app!K33*$C$2)+(districts_app!L33*$C$3)+(districts_app!N33*$C$4)+(districts_app!P33*$C$5)+(districts_app!Q33*$C$6)+(districts_app!S33*$C$7))/SUM($C$2:$C$7)*5</f>
        <v>53.258333333333319</v>
      </c>
    </row>
    <row r="34" spans="1:8">
      <c r="A34" s="2"/>
      <c r="B34" s="2"/>
      <c r="C34" s="2"/>
      <c r="D34" s="2"/>
      <c r="E34" s="2"/>
      <c r="F34" s="2" t="str">
        <f>districts_app!A34</f>
        <v>izmir-guzelbahce</v>
      </c>
      <c r="G34" s="2" t="str">
        <f>districts_app!D34</f>
        <v>İzmir / Güzelbahçe</v>
      </c>
      <c r="H34" s="2">
        <f>((districts_app!K34*$C$2)+(districts_app!L34*$C$3)+(districts_app!N34*$C$4)+(districts_app!P34*$C$5)+(districts_app!Q34*$C$6)+(districts_app!S34*$C$7))/SUM($C$2:$C$7)*5</f>
        <v>53.016666666666659</v>
      </c>
    </row>
    <row r="35" spans="1:8">
      <c r="A35" s="2"/>
      <c r="B35" s="2"/>
      <c r="C35" s="2"/>
      <c r="D35" s="2"/>
      <c r="E35" s="2"/>
      <c r="F35" s="2" t="str">
        <f>districts_app!A35</f>
        <v>istanbul-tuzla</v>
      </c>
      <c r="G35" s="2" t="str">
        <f>districts_app!D35</f>
        <v>İstanbul / Tuzla</v>
      </c>
      <c r="H35" s="2">
        <f>((districts_app!K35*$C$2)+(districts_app!L35*$C$3)+(districts_app!N35*$C$4)+(districts_app!P35*$C$5)+(districts_app!Q35*$C$6)+(districts_app!S35*$C$7))/SUM($C$2:$C$7)*5</f>
        <v>52.908333333333331</v>
      </c>
    </row>
    <row r="36" spans="1:8">
      <c r="A36" s="2"/>
      <c r="B36" s="2"/>
      <c r="C36" s="2"/>
      <c r="D36" s="2"/>
      <c r="E36" s="2"/>
      <c r="F36" s="2" t="str">
        <f>districts_app!A36</f>
        <v>izmir-cesme</v>
      </c>
      <c r="G36" s="2" t="str">
        <f>districts_app!D36</f>
        <v>İzmir / Çeşme</v>
      </c>
      <c r="H36" s="2">
        <f>((districts_app!K36*$C$2)+(districts_app!L36*$C$3)+(districts_app!N36*$C$4)+(districts_app!P36*$C$5)+(districts_app!Q36*$C$6)+(districts_app!S36*$C$7))/SUM($C$2:$C$7)*5</f>
        <v>52.383333333333333</v>
      </c>
    </row>
    <row r="37" spans="1:8">
      <c r="A37" s="2"/>
      <c r="B37" s="2"/>
      <c r="C37" s="2"/>
      <c r="D37" s="2"/>
      <c r="E37" s="2"/>
      <c r="F37" s="2" t="str">
        <f>districts_app!A37</f>
        <v>izmir-urla</v>
      </c>
      <c r="G37" s="2" t="str">
        <f>districts_app!D37</f>
        <v>İzmir / Urla</v>
      </c>
      <c r="H37" s="2">
        <f>((districts_app!K37*$C$2)+(districts_app!L37*$C$3)+(districts_app!N37*$C$4)+(districts_app!P37*$C$5)+(districts_app!Q37*$C$6)+(districts_app!S37*$C$7))/SUM($C$2:$C$7)*5</f>
        <v>52.408333333333317</v>
      </c>
    </row>
    <row r="38" spans="1:8">
      <c r="A38" s="2"/>
      <c r="B38" s="2"/>
      <c r="C38" s="2"/>
      <c r="D38" s="2"/>
      <c r="E38" s="2"/>
      <c r="F38" s="2" t="str">
        <f>districts_app!A38</f>
        <v>antalya-dosemealti</v>
      </c>
      <c r="G38" s="2" t="str">
        <f>districts_app!D38</f>
        <v>Antalya / Döşemealtı</v>
      </c>
      <c r="H38" s="2">
        <f>((districts_app!K38*$C$2)+(districts_app!L38*$C$3)+(districts_app!N38*$C$4)+(districts_app!P38*$C$5)+(districts_app!Q38*$C$6)+(districts_app!S38*$C$7))/SUM($C$2:$C$7)*5</f>
        <v>51.983333333333334</v>
      </c>
    </row>
    <row r="39" spans="1:8">
      <c r="A39" s="2"/>
      <c r="B39" s="2"/>
      <c r="C39" s="2"/>
      <c r="D39" s="2"/>
      <c r="E39" s="2"/>
      <c r="F39" s="2" t="str">
        <f>districts_app!A39</f>
        <v>edirne-merkez</v>
      </c>
      <c r="G39" s="2" t="str">
        <f>districts_app!D39</f>
        <v>Edirne / Merkez</v>
      </c>
      <c r="H39" s="2">
        <f>((districts_app!K39*$C$2)+(districts_app!L39*$C$3)+(districts_app!N39*$C$4)+(districts_app!P39*$C$5)+(districts_app!Q39*$C$6)+(districts_app!S39*$C$7))/SUM($C$2:$C$7)*5</f>
        <v>52.06666666666667</v>
      </c>
    </row>
    <row r="40" spans="1:8">
      <c r="A40" s="2"/>
      <c r="B40" s="2"/>
      <c r="C40" s="2"/>
      <c r="D40" s="2"/>
      <c r="E40" s="2"/>
      <c r="F40" s="2" t="str">
        <f>districts_app!A40</f>
        <v>istanbul-sisli</v>
      </c>
      <c r="G40" s="2" t="str">
        <f>districts_app!D40</f>
        <v>İstanbul / Şişli</v>
      </c>
      <c r="H40" s="2">
        <f>((districts_app!K40*$C$2)+(districts_app!L40*$C$3)+(districts_app!N40*$C$4)+(districts_app!P40*$C$5)+(districts_app!Q40*$C$6)+(districts_app!S40*$C$7))/SUM($C$2:$C$7)*5</f>
        <v>51.11666666666666</v>
      </c>
    </row>
    <row r="41" spans="1:8">
      <c r="A41" s="2"/>
      <c r="B41" s="2"/>
      <c r="C41" s="2"/>
      <c r="D41" s="2"/>
      <c r="E41" s="2"/>
      <c r="F41" s="2" t="str">
        <f>districts_app!A41</f>
        <v>istanbul-beylikduzu</v>
      </c>
      <c r="G41" s="2" t="str">
        <f>districts_app!D41</f>
        <v>İstanbul / Beylikdüzü</v>
      </c>
      <c r="H41" s="2">
        <f>((districts_app!K41*$C$2)+(districts_app!L41*$C$3)+(districts_app!N41*$C$4)+(districts_app!P41*$C$5)+(districts_app!Q41*$C$6)+(districts_app!S41*$C$7))/SUM($C$2:$C$7)*5</f>
        <v>51.024999999999999</v>
      </c>
    </row>
    <row r="42" spans="1:8">
      <c r="A42" s="2"/>
      <c r="B42" s="2"/>
      <c r="C42" s="2"/>
      <c r="D42" s="2"/>
      <c r="E42" s="2"/>
      <c r="F42" s="2" t="str">
        <f>districts_app!A42</f>
        <v>istanbul-buyukcekmece</v>
      </c>
      <c r="G42" s="2" t="str">
        <f>districts_app!D42</f>
        <v>İstanbul / Büyükçekmece</v>
      </c>
      <c r="H42" s="2">
        <f>((districts_app!K42*$C$2)+(districts_app!L42*$C$3)+(districts_app!N42*$C$4)+(districts_app!P42*$C$5)+(districts_app!Q42*$C$6)+(districts_app!S42*$C$7))/SUM($C$2:$C$7)*5</f>
        <v>50.716666666666661</v>
      </c>
    </row>
    <row r="43" spans="1:8">
      <c r="A43" s="2"/>
      <c r="B43" s="2"/>
      <c r="C43" s="2"/>
      <c r="D43" s="2"/>
      <c r="E43" s="2"/>
      <c r="F43" s="2" t="str">
        <f>districts_app!A43</f>
        <v>istanbul-bakirkoy</v>
      </c>
      <c r="G43" s="2" t="str">
        <f>districts_app!D43</f>
        <v>İstanbul / Bakırköy</v>
      </c>
      <c r="H43" s="2">
        <f>((districts_app!K43*$C$2)+(districts_app!L43*$C$3)+(districts_app!N43*$C$4)+(districts_app!P43*$C$5)+(districts_app!Q43*$C$6)+(districts_app!S43*$C$7))/SUM($C$2:$C$7)*5</f>
        <v>50.341666666666676</v>
      </c>
    </row>
    <row r="44" spans="1:8">
      <c r="A44" s="2"/>
      <c r="B44" s="2"/>
      <c r="C44" s="2"/>
      <c r="D44" s="2"/>
      <c r="E44" s="2"/>
      <c r="F44" s="2" t="str">
        <f>districts_app!A44</f>
        <v>ankara-kahramankazan</v>
      </c>
      <c r="G44" s="2" t="str">
        <f>districts_app!D44</f>
        <v>Ankara / Kahramankazan</v>
      </c>
      <c r="H44" s="2">
        <f>((districts_app!K44*$C$2)+(districts_app!L44*$C$3)+(districts_app!N44*$C$4)+(districts_app!P44*$C$5)+(districts_app!Q44*$C$6)+(districts_app!S44*$C$7))/SUM($C$2:$C$7)*5</f>
        <v>49.774999999999999</v>
      </c>
    </row>
    <row r="45" spans="1:8">
      <c r="A45" s="2"/>
      <c r="B45" s="2"/>
      <c r="C45" s="2"/>
      <c r="D45" s="2"/>
      <c r="E45" s="2"/>
      <c r="F45" s="2" t="str">
        <f>districts_app!A45</f>
        <v>istanbul-silivri</v>
      </c>
      <c r="G45" s="2" t="str">
        <f>districts_app!D45</f>
        <v>İstanbul / Silivri</v>
      </c>
      <c r="H45" s="2">
        <f>((districts_app!K45*$C$2)+(districts_app!L45*$C$3)+(districts_app!N45*$C$4)+(districts_app!P45*$C$5)+(districts_app!Q45*$C$6)+(districts_app!S45*$C$7))/SUM($C$2:$C$7)*5</f>
        <v>49.38333333333334</v>
      </c>
    </row>
    <row r="46" spans="1:8">
      <c r="A46" s="2"/>
      <c r="B46" s="2"/>
      <c r="C46" s="2"/>
      <c r="D46" s="2"/>
      <c r="E46" s="2"/>
      <c r="F46" s="2" t="str">
        <f>districts_app!A46</f>
        <v>istanbul-kadikoy</v>
      </c>
      <c r="G46" s="2" t="str">
        <f>districts_app!D46</f>
        <v>İstanbul / Kadıköy</v>
      </c>
      <c r="H46" s="2">
        <f>((districts_app!K46*$C$2)+(districts_app!L46*$C$3)+(districts_app!N46*$C$4)+(districts_app!P46*$C$5)+(districts_app!Q46*$C$6)+(districts_app!S46*$C$7))/SUM($C$2:$C$7)*5</f>
        <v>48.325000000000003</v>
      </c>
    </row>
    <row r="47" spans="1:8">
      <c r="A47" s="2"/>
      <c r="B47" s="2"/>
      <c r="C47" s="2"/>
      <c r="D47" s="2"/>
      <c r="E47" s="2"/>
      <c r="F47" s="2" t="str">
        <f>districts_app!A47</f>
        <v>ankara-cankaya</v>
      </c>
      <c r="G47" s="2" t="str">
        <f>districts_app!D47</f>
        <v>Ankara / Çankaya</v>
      </c>
      <c r="H47" s="2">
        <f>((districts_app!K47*$C$2)+(districts_app!L47*$C$3)+(districts_app!N47*$C$4)+(districts_app!P47*$C$5)+(districts_app!Q47*$C$6)+(districts_app!S47*$C$7))/SUM($C$2:$C$7)*5</f>
        <v>47.766666666666673</v>
      </c>
    </row>
    <row r="48" spans="1:8">
      <c r="A48" s="2"/>
      <c r="B48" s="2"/>
      <c r="C48" s="2"/>
      <c r="D48" s="2"/>
      <c r="E48" s="2"/>
      <c r="F48" s="2" t="str">
        <f>districts_app!A48</f>
        <v>istanbul-adalar</v>
      </c>
      <c r="G48" s="2" t="str">
        <f>districts_app!D48</f>
        <v>İstanbul / Adalar</v>
      </c>
      <c r="H48" s="2">
        <f>((districts_app!K48*$C$2)+(districts_app!L48*$C$3)+(districts_app!N48*$C$4)+(districts_app!P48*$C$5)+(districts_app!Q48*$C$6)+(districts_app!S48*$C$7))/SUM($C$2:$C$7)*5</f>
        <v>47.725000000000001</v>
      </c>
    </row>
    <row r="49" spans="1:8">
      <c r="A49" s="2"/>
      <c r="B49" s="2"/>
      <c r="C49" s="2"/>
      <c r="D49" s="2"/>
      <c r="E49" s="2"/>
      <c r="F49" s="2" t="str">
        <f>districts_app!A49</f>
        <v>bursa-nilufer</v>
      </c>
      <c r="G49" s="2" t="str">
        <f>districts_app!D49</f>
        <v>Bursa / Nilüfer</v>
      </c>
      <c r="H49" s="2">
        <f>((districts_app!K49*$C$2)+(districts_app!L49*$C$3)+(districts_app!N49*$C$4)+(districts_app!P49*$C$5)+(districts_app!Q49*$C$6)+(districts_app!S49*$C$7))/SUM($C$2:$C$7)*5</f>
        <v>47.466666666666661</v>
      </c>
    </row>
    <row r="50" spans="1:8">
      <c r="A50" s="2"/>
      <c r="B50" s="2"/>
      <c r="C50" s="2"/>
      <c r="D50" s="2"/>
      <c r="E50" s="2"/>
      <c r="F50" s="2" t="str">
        <f>districts_app!A50</f>
        <v>istanbul-eyupsultan</v>
      </c>
      <c r="G50" s="2" t="str">
        <f>districts_app!D50</f>
        <v>İstanbul / Eyüpsultan</v>
      </c>
      <c r="H50" s="2">
        <f>((districts_app!K50*$C$2)+(districts_app!L50*$C$3)+(districts_app!N50*$C$4)+(districts_app!P50*$C$5)+(districts_app!Q50*$C$6)+(districts_app!S50*$C$7))/SUM($C$2:$C$7)*5</f>
        <v>47.333333333333336</v>
      </c>
    </row>
    <row r="51" spans="1:8">
      <c r="A51" s="2"/>
      <c r="B51" s="2"/>
      <c r="C51" s="2"/>
      <c r="D51" s="2"/>
      <c r="E51" s="2"/>
      <c r="F51" s="2" t="str">
        <f>districts_app!A51</f>
        <v>istanbul-uskudar</v>
      </c>
      <c r="G51" s="2" t="str">
        <f>districts_app!D51</f>
        <v>İstanbul / Üsküdar</v>
      </c>
      <c r="H51" s="2">
        <f>((districts_app!K51*$C$2)+(districts_app!L51*$C$3)+(districts_app!N51*$C$4)+(districts_app!P51*$C$5)+(districts_app!Q51*$C$6)+(districts_app!S51*$C$7))/SUM($C$2:$C$7)*5</f>
        <v>47.13333333333334</v>
      </c>
    </row>
    <row r="52" spans="1:8">
      <c r="A52" s="2"/>
      <c r="B52" s="2"/>
      <c r="C52" s="2"/>
      <c r="D52" s="2"/>
      <c r="E52" s="2"/>
      <c r="F52" s="2" t="str">
        <f>districts_app!A52</f>
        <v>istanbul-maltepe</v>
      </c>
      <c r="G52" s="2" t="str">
        <f>districts_app!D52</f>
        <v>İstanbul / Maltepe</v>
      </c>
      <c r="H52" s="2">
        <f>((districts_app!K52*$C$2)+(districts_app!L52*$C$3)+(districts_app!N52*$C$4)+(districts_app!P52*$C$5)+(districts_app!Q52*$C$6)+(districts_app!S52*$C$7))/SUM($C$2:$C$7)*5</f>
        <v>47.141666666666673</v>
      </c>
    </row>
    <row r="53" spans="1:8">
      <c r="A53" s="2"/>
      <c r="B53" s="2"/>
      <c r="C53" s="2"/>
      <c r="D53" s="2"/>
      <c r="E53" s="2"/>
      <c r="F53" s="2" t="str">
        <f>districts_app!A53</f>
        <v>istanbul-kartal</v>
      </c>
      <c r="G53" s="2" t="str">
        <f>districts_app!D53</f>
        <v>İstanbul / Kartal</v>
      </c>
      <c r="H53" s="2">
        <f>((districts_app!K53*$C$2)+(districts_app!L53*$C$3)+(districts_app!N53*$C$4)+(districts_app!P53*$C$5)+(districts_app!Q53*$C$6)+(districts_app!S53*$C$7))/SUM($C$2:$C$7)*5</f>
        <v>47.166666666666671</v>
      </c>
    </row>
    <row r="54" spans="1:8">
      <c r="A54" s="2"/>
      <c r="B54" s="2"/>
      <c r="C54" s="2"/>
      <c r="D54" s="2"/>
      <c r="E54" s="2"/>
      <c r="F54" s="2" t="str">
        <f>districts_app!A54</f>
        <v>ankara-altindag</v>
      </c>
      <c r="G54" s="2" t="str">
        <f>districts_app!D54</f>
        <v>Ankara / Altındağ</v>
      </c>
      <c r="H54" s="2">
        <f>((districts_app!K54*$C$2)+(districts_app!L54*$C$3)+(districts_app!N54*$C$4)+(districts_app!P54*$C$5)+(districts_app!Q54*$C$6)+(districts_app!S54*$C$7))/SUM($C$2:$C$7)*5</f>
        <v>47.11666666666666</v>
      </c>
    </row>
    <row r="55" spans="1:8">
      <c r="A55" s="2"/>
      <c r="B55" s="2"/>
      <c r="C55" s="2"/>
      <c r="D55" s="2"/>
      <c r="E55" s="2"/>
      <c r="F55" s="2" t="str">
        <f>districts_app!A55</f>
        <v>kayseri-kocasinan</v>
      </c>
      <c r="G55" s="2" t="str">
        <f>districts_app!D55</f>
        <v>Kayseri / Kocasinan</v>
      </c>
      <c r="H55" s="2">
        <f>((districts_app!K55*$C$2)+(districts_app!L55*$C$3)+(districts_app!N55*$C$4)+(districts_app!P55*$C$5)+(districts_app!Q55*$C$6)+(districts_app!S55*$C$7))/SUM($C$2:$C$7)*5</f>
        <v>46.883333333333333</v>
      </c>
    </row>
    <row r="56" spans="1:8">
      <c r="A56" s="2"/>
      <c r="B56" s="2"/>
      <c r="C56" s="2"/>
      <c r="D56" s="2"/>
      <c r="E56" s="2"/>
      <c r="F56" s="2" t="str">
        <f>districts_app!A56</f>
        <v>istanbul-sariyer</v>
      </c>
      <c r="G56" s="2" t="str">
        <f>districts_app!D56</f>
        <v>İstanbul / Sarıyer</v>
      </c>
      <c r="H56" s="2">
        <f>((districts_app!K56*$C$2)+(districts_app!L56*$C$3)+(districts_app!N56*$C$4)+(districts_app!P56*$C$5)+(districts_app!Q56*$C$6)+(districts_app!S56*$C$7))/SUM($C$2:$C$7)*5</f>
        <v>46.266666666666666</v>
      </c>
    </row>
    <row r="57" spans="1:8">
      <c r="A57" s="2"/>
      <c r="B57" s="2"/>
      <c r="C57" s="2"/>
      <c r="D57" s="2"/>
      <c r="E57" s="2"/>
      <c r="F57" s="2" t="str">
        <f>districts_app!A57</f>
        <v>ankara-golbasi</v>
      </c>
      <c r="G57" s="2" t="str">
        <f>districts_app!D57</f>
        <v>Ankara / Gölbaşı</v>
      </c>
      <c r="H57" s="2">
        <f>((districts_app!K57*$C$2)+(districts_app!L57*$C$3)+(districts_app!N57*$C$4)+(districts_app!P57*$C$5)+(districts_app!Q57*$C$6)+(districts_app!S57*$C$7))/SUM($C$2:$C$7)*5</f>
        <v>46.275000000000006</v>
      </c>
    </row>
    <row r="58" spans="1:8">
      <c r="A58" s="2"/>
      <c r="B58" s="2"/>
      <c r="C58" s="2"/>
      <c r="D58" s="2"/>
      <c r="E58" s="2"/>
      <c r="F58" s="2" t="str">
        <f>districts_app!A58</f>
        <v>istanbul-avcilar</v>
      </c>
      <c r="G58" s="2" t="str">
        <f>districts_app!D58</f>
        <v>İstanbul / Avcılar</v>
      </c>
      <c r="H58" s="2">
        <f>((districts_app!K58*$C$2)+(districts_app!L58*$C$3)+(districts_app!N58*$C$4)+(districts_app!P58*$C$5)+(districts_app!Q58*$C$6)+(districts_app!S58*$C$7))/SUM($C$2:$C$7)*5</f>
        <v>45.941666666666663</v>
      </c>
    </row>
    <row r="59" spans="1:8">
      <c r="A59" s="2"/>
      <c r="B59" s="2"/>
      <c r="C59" s="2"/>
      <c r="D59" s="2"/>
      <c r="E59" s="2"/>
      <c r="F59" s="2" t="str">
        <f>districts_app!A59</f>
        <v>ankara-yenimahalle</v>
      </c>
      <c r="G59" s="2" t="str">
        <f>districts_app!D59</f>
        <v>Ankara / Yenimahalle</v>
      </c>
      <c r="H59" s="2">
        <f>((districts_app!K59*$C$2)+(districts_app!L59*$C$3)+(districts_app!N59*$C$4)+(districts_app!P59*$C$5)+(districts_app!Q59*$C$6)+(districts_app!S59*$C$7))/SUM($C$2:$C$7)*5</f>
        <v>45.674999999999997</v>
      </c>
    </row>
    <row r="60" spans="1:8">
      <c r="A60" s="2"/>
      <c r="B60" s="2"/>
      <c r="C60" s="2"/>
      <c r="D60" s="2"/>
      <c r="E60" s="2"/>
      <c r="F60" s="2" t="str">
        <f>districts_app!A60</f>
        <v>istanbul-bayrampasa</v>
      </c>
      <c r="G60" s="2" t="str">
        <f>districts_app!D60</f>
        <v>İstanbul / Bayrampaşa</v>
      </c>
      <c r="H60" s="2">
        <f>((districts_app!K60*$C$2)+(districts_app!L60*$C$3)+(districts_app!N60*$C$4)+(districts_app!P60*$C$5)+(districts_app!Q60*$C$6)+(districts_app!S60*$C$7))/SUM($C$2:$C$7)*5</f>
        <v>45.583333333333336</v>
      </c>
    </row>
    <row r="61" spans="1:8">
      <c r="A61" s="2"/>
      <c r="B61" s="2"/>
      <c r="C61" s="2"/>
      <c r="D61" s="2"/>
      <c r="E61" s="2"/>
      <c r="F61" s="2" t="str">
        <f>districts_app!A61</f>
        <v>konya-karatay</v>
      </c>
      <c r="G61" s="2" t="str">
        <f>districts_app!D61</f>
        <v>Konya / Karatay</v>
      </c>
      <c r="H61" s="2">
        <f>((districts_app!K61*$C$2)+(districts_app!L61*$C$3)+(districts_app!N61*$C$4)+(districts_app!P61*$C$5)+(districts_app!Q61*$C$6)+(districts_app!S61*$C$7))/SUM($C$2:$C$7)*5</f>
        <v>45.608333333333334</v>
      </c>
    </row>
    <row r="62" spans="1:8">
      <c r="A62" s="2"/>
      <c r="B62" s="2"/>
      <c r="C62" s="2"/>
      <c r="D62" s="2"/>
      <c r="E62" s="2"/>
      <c r="F62" s="2" t="str">
        <f>districts_app!A62</f>
        <v>kayseri-melikgazi</v>
      </c>
      <c r="G62" s="2" t="str">
        <f>districts_app!D62</f>
        <v>Kayseri / Melikgazi</v>
      </c>
      <c r="H62" s="2">
        <f>((districts_app!K62*$C$2)+(districts_app!L62*$C$3)+(districts_app!N62*$C$4)+(districts_app!P62*$C$5)+(districts_app!Q62*$C$6)+(districts_app!S62*$C$7))/SUM($C$2:$C$7)*5</f>
        <v>45.25833333333334</v>
      </c>
    </row>
    <row r="63" spans="1:8">
      <c r="A63" s="2"/>
      <c r="B63" s="2"/>
      <c r="C63" s="2"/>
      <c r="D63" s="2"/>
      <c r="E63" s="2"/>
      <c r="F63" s="2" t="str">
        <f>districts_app!A63</f>
        <v>istanbul-zeytinburnu</v>
      </c>
      <c r="G63" s="2" t="str">
        <f>districts_app!D63</f>
        <v>İstanbul / Zeytinburnu</v>
      </c>
      <c r="H63" s="2">
        <f>((districts_app!K63*$C$2)+(districts_app!L63*$C$3)+(districts_app!N63*$C$4)+(districts_app!P63*$C$5)+(districts_app!Q63*$C$6)+(districts_app!S63*$C$7))/SUM($C$2:$C$7)*5</f>
        <v>45.058333333333337</v>
      </c>
    </row>
    <row r="64" spans="1:8">
      <c r="A64" s="2"/>
      <c r="B64" s="2"/>
      <c r="C64" s="2"/>
      <c r="D64" s="2"/>
      <c r="E64" s="2"/>
      <c r="F64" s="2" t="str">
        <f>districts_app!A64</f>
        <v>istanbul-pendik</v>
      </c>
      <c r="G64" s="2" t="str">
        <f>districts_app!D64</f>
        <v>İstanbul / Pendik</v>
      </c>
      <c r="H64" s="2">
        <f>((districts_app!K64*$C$2)+(districts_app!L64*$C$3)+(districts_app!N64*$C$4)+(districts_app!P64*$C$5)+(districts_app!Q64*$C$6)+(districts_app!S64*$C$7))/SUM($C$2:$C$7)*5</f>
        <v>44.74166666666666</v>
      </c>
    </row>
    <row r="65" spans="1:8">
      <c r="A65" s="2"/>
      <c r="B65" s="2"/>
      <c r="C65" s="2"/>
      <c r="D65" s="2"/>
      <c r="E65" s="2"/>
      <c r="F65" s="2" t="str">
        <f>districts_app!A65</f>
        <v>mugla-mentese</v>
      </c>
      <c r="G65" s="2" t="str">
        <f>districts_app!D65</f>
        <v>Muğla / Menteşe</v>
      </c>
      <c r="H65" s="2">
        <f>((districts_app!K65*$C$2)+(districts_app!L65*$C$3)+(districts_app!N65*$C$4)+(districts_app!P65*$C$5)+(districts_app!Q65*$C$6)+(districts_app!S65*$C$7))/SUM($C$2:$C$7)*5</f>
        <v>44.816666666666663</v>
      </c>
    </row>
    <row r="66" spans="1:8">
      <c r="A66" s="2"/>
      <c r="B66" s="2"/>
      <c r="C66" s="2"/>
      <c r="D66" s="2"/>
      <c r="E66" s="2"/>
      <c r="F66" s="2" t="str">
        <f>districts_app!A66</f>
        <v>antalya-kepez</v>
      </c>
      <c r="G66" s="2" t="str">
        <f>districts_app!D66</f>
        <v>Antalya / Kepez</v>
      </c>
      <c r="H66" s="2">
        <f>((districts_app!K66*$C$2)+(districts_app!L66*$C$3)+(districts_app!N66*$C$4)+(districts_app!P66*$C$5)+(districts_app!Q66*$C$6)+(districts_app!S66*$C$7))/SUM($C$2:$C$7)*5</f>
        <v>44.733333333333327</v>
      </c>
    </row>
    <row r="67" spans="1:8">
      <c r="A67" s="2"/>
      <c r="B67" s="2"/>
      <c r="C67" s="2"/>
      <c r="D67" s="2"/>
      <c r="E67" s="2"/>
      <c r="F67" s="2" t="str">
        <f>districts_app!A67</f>
        <v>istanbul-atasehir</v>
      </c>
      <c r="G67" s="2" t="str">
        <f>districts_app!D67</f>
        <v>İstanbul / Ataşehir</v>
      </c>
      <c r="H67" s="2">
        <f>((districts_app!K67*$C$2)+(districts_app!L67*$C$3)+(districts_app!N67*$C$4)+(districts_app!P67*$C$5)+(districts_app!Q67*$C$6)+(districts_app!S67*$C$7))/SUM($C$2:$C$7)*5</f>
        <v>44.63333333333334</v>
      </c>
    </row>
    <row r="68" spans="1:8">
      <c r="A68" s="2"/>
      <c r="B68" s="2"/>
      <c r="C68" s="2"/>
      <c r="D68" s="2"/>
      <c r="E68" s="2"/>
      <c r="F68" s="2" t="str">
        <f>districts_app!A68</f>
        <v>istanbul-beykoz</v>
      </c>
      <c r="G68" s="2" t="str">
        <f>districts_app!D68</f>
        <v>İstanbul / Beykoz</v>
      </c>
      <c r="H68" s="2">
        <f>((districts_app!K68*$C$2)+(districts_app!L68*$C$3)+(districts_app!N68*$C$4)+(districts_app!P68*$C$5)+(districts_app!Q68*$C$6)+(districts_app!S68*$C$7))/SUM($C$2:$C$7)*5</f>
        <v>44.608333333333334</v>
      </c>
    </row>
    <row r="69" spans="1:8">
      <c r="A69" s="2"/>
      <c r="B69" s="2"/>
      <c r="C69" s="2"/>
      <c r="D69" s="2"/>
      <c r="E69" s="2"/>
      <c r="F69" s="2" t="str">
        <f>districts_app!A69</f>
        <v>istanbul-gungoren</v>
      </c>
      <c r="G69" s="2" t="str">
        <f>districts_app!D69</f>
        <v>İstanbul / Güngören</v>
      </c>
      <c r="H69" s="2">
        <f>((districts_app!K69*$C$2)+(districts_app!L69*$C$3)+(districts_app!N69*$C$4)+(districts_app!P69*$C$5)+(districts_app!Q69*$C$6)+(districts_app!S69*$C$7))/SUM($C$2:$C$7)*5</f>
        <v>44.366666666666667</v>
      </c>
    </row>
    <row r="70" spans="1:8">
      <c r="A70" s="2"/>
      <c r="B70" s="2"/>
      <c r="C70" s="2"/>
      <c r="D70" s="2"/>
      <c r="E70" s="2"/>
      <c r="F70" s="2" t="str">
        <f>districts_app!A70</f>
        <v>eskisehir-odunpazari</v>
      </c>
      <c r="G70" s="2" t="str">
        <f>districts_app!D70</f>
        <v>Eskişehir / Odunpazarı</v>
      </c>
      <c r="H70" s="2">
        <f>((districts_app!K70*$C$2)+(districts_app!L70*$C$3)+(districts_app!N70*$C$4)+(districts_app!P70*$C$5)+(districts_app!Q70*$C$6)+(districts_app!S70*$C$7))/SUM($C$2:$C$7)*5</f>
        <v>44.058333333333337</v>
      </c>
    </row>
    <row r="71" spans="1:8">
      <c r="A71" s="2"/>
      <c r="B71" s="2"/>
      <c r="C71" s="2"/>
      <c r="D71" s="2"/>
      <c r="E71" s="2"/>
      <c r="F71" s="2" t="str">
        <f>districts_app!A71</f>
        <v>izmir-gaziemir</v>
      </c>
      <c r="G71" s="2" t="str">
        <f>districts_app!D71</f>
        <v>İzmir / Gaziemir</v>
      </c>
      <c r="H71" s="2">
        <f>((districts_app!K71*$C$2)+(districts_app!L71*$C$3)+(districts_app!N71*$C$4)+(districts_app!P71*$C$5)+(districts_app!Q71*$C$6)+(districts_app!S71*$C$7))/SUM($C$2:$C$7)*5</f>
        <v>44.024999999999999</v>
      </c>
    </row>
    <row r="72" spans="1:8">
      <c r="A72" s="2"/>
      <c r="B72" s="2"/>
      <c r="C72" s="2"/>
      <c r="D72" s="2"/>
      <c r="E72" s="2"/>
      <c r="F72" s="2" t="str">
        <f>districts_app!A72</f>
        <v>izmir-buca</v>
      </c>
      <c r="G72" s="2" t="str">
        <f>districts_app!D72</f>
        <v>İzmir / Buca</v>
      </c>
      <c r="H72" s="2">
        <f>((districts_app!K72*$C$2)+(districts_app!L72*$C$3)+(districts_app!N72*$C$4)+(districts_app!P72*$C$5)+(districts_app!Q72*$C$6)+(districts_app!S72*$C$7))/SUM($C$2:$C$7)*5</f>
        <v>43.608333333333334</v>
      </c>
    </row>
    <row r="73" spans="1:8">
      <c r="A73" s="2"/>
      <c r="B73" s="2"/>
      <c r="C73" s="2"/>
      <c r="D73" s="2"/>
      <c r="E73" s="2"/>
      <c r="F73" s="2" t="str">
        <f>districts_app!A73</f>
        <v>balikesir-altieylul</v>
      </c>
      <c r="G73" s="2" t="str">
        <f>districts_app!D73</f>
        <v>Balıkesir / Altıeylül</v>
      </c>
      <c r="H73" s="2">
        <f>((districts_app!K73*$C$2)+(districts_app!L73*$C$3)+(districts_app!N73*$C$4)+(districts_app!P73*$C$5)+(districts_app!Q73*$C$6)+(districts_app!S73*$C$7))/SUM($C$2:$C$7)*5</f>
        <v>43.583333333333336</v>
      </c>
    </row>
    <row r="74" spans="1:8">
      <c r="A74" s="2"/>
      <c r="B74" s="2"/>
      <c r="C74" s="2"/>
      <c r="D74" s="2"/>
      <c r="E74" s="2"/>
      <c r="F74" s="2" t="str">
        <f>districts_app!A74</f>
        <v>konya-selcuklu</v>
      </c>
      <c r="G74" s="2" t="str">
        <f>districts_app!D74</f>
        <v>Konya / Selçuklu</v>
      </c>
      <c r="H74" s="2">
        <f>((districts_app!K74*$C$2)+(districts_app!L74*$C$3)+(districts_app!N74*$C$4)+(districts_app!P74*$C$5)+(districts_app!Q74*$C$6)+(districts_app!S74*$C$7))/SUM($C$2:$C$7)*5</f>
        <v>43.524999999999999</v>
      </c>
    </row>
    <row r="75" spans="1:8">
      <c r="A75" s="2"/>
      <c r="B75" s="2"/>
      <c r="C75" s="2"/>
      <c r="D75" s="2"/>
      <c r="E75" s="2"/>
      <c r="F75" s="2" t="str">
        <f>districts_app!A75</f>
        <v>eskisehir-tepebasi</v>
      </c>
      <c r="G75" s="2" t="str">
        <f>districts_app!D75</f>
        <v>Eskişehir / Tepebaşı</v>
      </c>
      <c r="H75" s="2">
        <f>((districts_app!K75*$C$2)+(districts_app!L75*$C$3)+(districts_app!N75*$C$4)+(districts_app!P75*$C$5)+(districts_app!Q75*$C$6)+(districts_app!S75*$C$7))/SUM($C$2:$C$7)*5</f>
        <v>43.25833333333334</v>
      </c>
    </row>
    <row r="76" spans="1:8">
      <c r="A76" s="2"/>
      <c r="B76" s="2"/>
      <c r="C76" s="2"/>
      <c r="D76" s="2"/>
      <c r="E76" s="2"/>
      <c r="F76" s="2" t="str">
        <f>districts_app!A76</f>
        <v>istanbul-kagithane</v>
      </c>
      <c r="G76" s="2" t="str">
        <f>districts_app!D76</f>
        <v>İstanbul / Kağıthane</v>
      </c>
      <c r="H76" s="2">
        <f>((districts_app!K76*$C$2)+(districts_app!L76*$C$3)+(districts_app!N76*$C$4)+(districts_app!P76*$C$5)+(districts_app!Q76*$C$6)+(districts_app!S76*$C$7))/SUM($C$2:$C$7)*5</f>
        <v>42.091666666666654</v>
      </c>
    </row>
    <row r="77" spans="1:8">
      <c r="A77" s="2"/>
      <c r="B77" s="2"/>
      <c r="C77" s="2"/>
      <c r="D77" s="2"/>
      <c r="E77" s="2"/>
      <c r="F77" s="2" t="str">
        <f>districts_app!A77</f>
        <v>aydin-efeler</v>
      </c>
      <c r="G77" s="2" t="str">
        <f>districts_app!D77</f>
        <v>Aydın / Efeler</v>
      </c>
      <c r="H77" s="2">
        <f>((districts_app!K77*$C$2)+(districts_app!L77*$C$3)+(districts_app!N77*$C$4)+(districts_app!P77*$C$5)+(districts_app!Q77*$C$6)+(districts_app!S77*$C$7))/SUM($C$2:$C$7)*5</f>
        <v>41.724999999999994</v>
      </c>
    </row>
    <row r="78" spans="1:8">
      <c r="A78" s="2"/>
      <c r="B78" s="2"/>
      <c r="C78" s="2"/>
      <c r="D78" s="2"/>
      <c r="E78" s="2"/>
      <c r="F78" s="2" t="str">
        <f>districts_app!A78</f>
        <v>istanbul-kucukcekmece</v>
      </c>
      <c r="G78" s="2" t="str">
        <f>districts_app!D78</f>
        <v>İstanbul / Küçükçekmece</v>
      </c>
      <c r="H78" s="2">
        <f>((districts_app!K78*$C$2)+(districts_app!L78*$C$3)+(districts_app!N78*$C$4)+(districts_app!P78*$C$5)+(districts_app!Q78*$C$6)+(districts_app!S78*$C$7))/SUM($C$2:$C$7)*5</f>
        <v>41.583333333333329</v>
      </c>
    </row>
    <row r="79" spans="1:8">
      <c r="A79" s="2"/>
      <c r="B79" s="2"/>
      <c r="C79" s="2"/>
      <c r="D79" s="2"/>
      <c r="E79" s="2"/>
      <c r="F79" s="2" t="str">
        <f>districts_app!A79</f>
        <v>sakarya-serdivan</v>
      </c>
      <c r="G79" s="2" t="str">
        <f>districts_app!D79</f>
        <v>Sakarya / Serdivan</v>
      </c>
      <c r="H79" s="2">
        <f>((districts_app!K79*$C$2)+(districts_app!L79*$C$3)+(districts_app!N79*$C$4)+(districts_app!P79*$C$5)+(districts_app!Q79*$C$6)+(districts_app!S79*$C$7))/SUM($C$2:$C$7)*5</f>
        <v>41.625000000000007</v>
      </c>
    </row>
    <row r="80" spans="1:8">
      <c r="A80" s="2"/>
      <c r="B80" s="2"/>
      <c r="C80" s="2"/>
      <c r="D80" s="2"/>
      <c r="E80" s="2"/>
      <c r="F80" s="2" t="str">
        <f>districts_app!A80</f>
        <v>kutahya-merkez</v>
      </c>
      <c r="G80" s="2" t="str">
        <f>districts_app!D80</f>
        <v>Kütahya / Merkez</v>
      </c>
      <c r="H80" s="2">
        <f>((districts_app!K80*$C$2)+(districts_app!L80*$C$3)+(districts_app!N80*$C$4)+(districts_app!P80*$C$5)+(districts_app!Q80*$C$6)+(districts_app!S80*$C$7))/SUM($C$2:$C$7)*5</f>
        <v>41.208333333333336</v>
      </c>
    </row>
    <row r="81" spans="1:8">
      <c r="A81" s="2"/>
      <c r="B81" s="2"/>
      <c r="C81" s="2"/>
      <c r="D81" s="2"/>
      <c r="E81" s="2"/>
      <c r="F81" s="2" t="str">
        <f>districts_app!A81</f>
        <v>ankara-etimesgut</v>
      </c>
      <c r="G81" s="2" t="str">
        <f>districts_app!D81</f>
        <v>Ankara / Etimesgut</v>
      </c>
      <c r="H81" s="2">
        <f>((districts_app!K81*$C$2)+(districts_app!L81*$C$3)+(districts_app!N81*$C$4)+(districts_app!P81*$C$5)+(districts_app!Q81*$C$6)+(districts_app!S81*$C$7))/SUM($C$2:$C$7)*5</f>
        <v>40.866666666666667</v>
      </c>
    </row>
    <row r="82" spans="1:8">
      <c r="A82" s="2"/>
      <c r="B82" s="2"/>
      <c r="C82" s="2"/>
      <c r="D82" s="2"/>
      <c r="E82" s="2"/>
      <c r="F82" s="2" t="str">
        <f>districts_app!A82</f>
        <v>bolu-merkez</v>
      </c>
      <c r="G82" s="2" t="str">
        <f>districts_app!D82</f>
        <v>Bolu / Merkez</v>
      </c>
      <c r="H82" s="2">
        <f>((districts_app!K82*$C$2)+(districts_app!L82*$C$3)+(districts_app!N82*$C$4)+(districts_app!P82*$C$5)+(districts_app!Q82*$C$6)+(districts_app!S82*$C$7))/SUM($C$2:$C$7)*5</f>
        <v>40.975000000000001</v>
      </c>
    </row>
    <row r="83" spans="1:8">
      <c r="A83" s="2"/>
      <c r="B83" s="2"/>
      <c r="C83" s="2"/>
      <c r="D83" s="2"/>
      <c r="E83" s="2"/>
      <c r="F83" s="2" t="str">
        <f>districts_app!A83</f>
        <v>denizli-merkezefendi</v>
      </c>
      <c r="G83" s="2" t="str">
        <f>districts_app!D83</f>
        <v>Denizli / Merkezefendi</v>
      </c>
      <c r="H83" s="2">
        <f>((districts_app!K83*$C$2)+(districts_app!L83*$C$3)+(districts_app!N83*$C$4)+(districts_app!P83*$C$5)+(districts_app!Q83*$C$6)+(districts_app!S83*$C$7))/SUM($C$2:$C$7)*5</f>
        <v>40.591666666666661</v>
      </c>
    </row>
    <row r="84" spans="1:8">
      <c r="A84" s="2"/>
      <c r="B84" s="2"/>
      <c r="C84" s="2"/>
      <c r="D84" s="2"/>
      <c r="E84" s="2"/>
      <c r="F84" s="2" t="str">
        <f>districts_app!A84</f>
        <v>istanbul-umraniye</v>
      </c>
      <c r="G84" s="2" t="str">
        <f>districts_app!D84</f>
        <v>İstanbul / Ümraniye</v>
      </c>
      <c r="H84" s="2">
        <f>((districts_app!K84*$C$2)+(districts_app!L84*$C$3)+(districts_app!N84*$C$4)+(districts_app!P84*$C$5)+(districts_app!Q84*$C$6)+(districts_app!S84*$C$7))/SUM($C$2:$C$7)*5</f>
        <v>40.43333333333333</v>
      </c>
    </row>
    <row r="85" spans="1:8">
      <c r="A85" s="2"/>
      <c r="B85" s="2"/>
      <c r="C85" s="2"/>
      <c r="D85" s="2"/>
      <c r="E85" s="2"/>
      <c r="F85" s="2" t="str">
        <f>districts_app!A85</f>
        <v>istanbul-bahcelievler</v>
      </c>
      <c r="G85" s="2" t="str">
        <f>districts_app!D85</f>
        <v>İstanbul / Bahçelievler</v>
      </c>
      <c r="H85" s="2">
        <f>((districts_app!K85*$C$2)+(districts_app!L85*$C$3)+(districts_app!N85*$C$4)+(districts_app!P85*$C$5)+(districts_app!Q85*$C$6)+(districts_app!S85*$C$7))/SUM($C$2:$C$7)*5</f>
        <v>39.758333333333333</v>
      </c>
    </row>
    <row r="86" spans="1:8">
      <c r="A86" s="2"/>
      <c r="B86" s="2"/>
      <c r="C86" s="2"/>
      <c r="D86" s="2"/>
      <c r="E86" s="2"/>
      <c r="F86" s="2" t="str">
        <f>districts_app!A86</f>
        <v>manisa-yunusemre</v>
      </c>
      <c r="G86" s="2" t="str">
        <f>districts_app!D86</f>
        <v>Manisa / Yunusemre</v>
      </c>
      <c r="H86" s="2">
        <f>((districts_app!K86*$C$2)+(districts_app!L86*$C$3)+(districts_app!N86*$C$4)+(districts_app!P86*$C$5)+(districts_app!Q86*$C$6)+(districts_app!S86*$C$7))/SUM($C$2:$C$7)*5</f>
        <v>39.799999999999997</v>
      </c>
    </row>
    <row r="87" spans="1:8">
      <c r="A87" s="2"/>
      <c r="B87" s="2"/>
      <c r="C87" s="2"/>
      <c r="D87" s="2"/>
      <c r="E87" s="2"/>
      <c r="F87" s="2" t="str">
        <f>districts_app!A87</f>
        <v>isparta-merkez</v>
      </c>
      <c r="G87" s="2" t="str">
        <f>districts_app!D87</f>
        <v>Isparta / Merkez</v>
      </c>
      <c r="H87" s="2">
        <f>((districts_app!K87*$C$2)+(districts_app!L87*$C$3)+(districts_app!N87*$C$4)+(districts_app!P87*$C$5)+(districts_app!Q87*$C$6)+(districts_app!S87*$C$7))/SUM($C$2:$C$7)*5</f>
        <v>39.383333333333333</v>
      </c>
    </row>
    <row r="88" spans="1:8">
      <c r="A88" s="2"/>
      <c r="B88" s="2"/>
      <c r="C88" s="2"/>
      <c r="D88" s="2"/>
      <c r="E88" s="2"/>
      <c r="F88" s="2" t="str">
        <f>districts_app!A88</f>
        <v>sakarya-adapazari</v>
      </c>
      <c r="G88" s="2" t="str">
        <f>districts_app!D88</f>
        <v>Sakarya / Adapazarı</v>
      </c>
      <c r="H88" s="2">
        <f>((districts_app!K88*$C$2)+(districts_app!L88*$C$3)+(districts_app!N88*$C$4)+(districts_app!P88*$C$5)+(districts_app!Q88*$C$6)+(districts_app!S88*$C$7))/SUM($C$2:$C$7)*5</f>
        <v>39.383333333333333</v>
      </c>
    </row>
    <row r="89" spans="1:8">
      <c r="A89" s="2"/>
      <c r="B89" s="2"/>
      <c r="C89" s="2"/>
      <c r="D89" s="2"/>
      <c r="E89" s="2"/>
      <c r="F89" s="2" t="str">
        <f>districts_app!A89</f>
        <v>adana-cukurova</v>
      </c>
      <c r="G89" s="2" t="str">
        <f>districts_app!D89</f>
        <v>Adana / Çukurova</v>
      </c>
      <c r="H89" s="2">
        <f>((districts_app!K89*$C$2)+(districts_app!L89*$C$3)+(districts_app!N89*$C$4)+(districts_app!P89*$C$5)+(districts_app!Q89*$C$6)+(districts_app!S89*$C$7))/SUM($C$2:$C$7)*5</f>
        <v>38.083333333333343</v>
      </c>
    </row>
    <row r="90" spans="1:8">
      <c r="A90" s="2"/>
      <c r="B90" s="2"/>
      <c r="C90" s="2"/>
      <c r="D90" s="2"/>
      <c r="E90" s="2"/>
      <c r="F90" s="2" t="str">
        <f>districts_app!A90</f>
        <v>gaziantep-sehitkamil</v>
      </c>
      <c r="G90" s="2" t="str">
        <f>districts_app!D90</f>
        <v>Gaziantep / Şehitkamil</v>
      </c>
      <c r="H90" s="2">
        <f>((districts_app!K90*$C$2)+(districts_app!L90*$C$3)+(districts_app!N90*$C$4)+(districts_app!P90*$C$5)+(districts_app!Q90*$C$6)+(districts_app!S90*$C$7))/SUM($C$2:$C$7)*5</f>
        <v>38.049999999999997</v>
      </c>
    </row>
    <row r="91" spans="1:8">
      <c r="A91" s="2"/>
      <c r="B91" s="2"/>
      <c r="C91" s="2"/>
      <c r="D91" s="2"/>
      <c r="E91" s="2"/>
      <c r="F91" s="2" t="str">
        <f>districts_app!A91</f>
        <v>istanbul-basaksehir</v>
      </c>
      <c r="G91" s="2" t="str">
        <f>districts_app!D91</f>
        <v>İstanbul / Başakşehir</v>
      </c>
      <c r="H91" s="2">
        <f>((districts_app!K91*$C$2)+(districts_app!L91*$C$3)+(districts_app!N91*$C$4)+(districts_app!P91*$C$5)+(districts_app!Q91*$C$6)+(districts_app!S91*$C$7))/SUM($C$2:$C$7)*5</f>
        <v>37.808333333333337</v>
      </c>
    </row>
    <row r="92" spans="1:8">
      <c r="A92" s="2"/>
      <c r="B92" s="2"/>
      <c r="C92" s="2"/>
      <c r="D92" s="2"/>
      <c r="E92" s="2"/>
      <c r="F92" s="2" t="str">
        <f>districts_app!A92</f>
        <v>bursa-osmangazi</v>
      </c>
      <c r="G92" s="2" t="str">
        <f>districts_app!D92</f>
        <v>Bursa / Osmangazi</v>
      </c>
      <c r="H92" s="2">
        <f>((districts_app!K92*$C$2)+(districts_app!L92*$C$3)+(districts_app!N92*$C$4)+(districts_app!P92*$C$5)+(districts_app!Q92*$C$6)+(districts_app!S92*$C$7))/SUM($C$2:$C$7)*5</f>
        <v>37.583333333333336</v>
      </c>
    </row>
    <row r="93" spans="1:8">
      <c r="A93" s="2"/>
      <c r="B93" s="2"/>
      <c r="C93" s="2"/>
      <c r="D93" s="2"/>
      <c r="E93" s="2"/>
      <c r="F93" s="2" t="str">
        <f>districts_app!A93</f>
        <v>denizli-pamukkale</v>
      </c>
      <c r="G93" s="2" t="str">
        <f>districts_app!D93</f>
        <v>Denizli / Pamukkale</v>
      </c>
      <c r="H93" s="2">
        <f>((districts_app!K93*$C$2)+(districts_app!L93*$C$3)+(districts_app!N93*$C$4)+(districts_app!P93*$C$5)+(districts_app!Q93*$C$6)+(districts_app!S93*$C$7))/SUM($C$2:$C$7)*5</f>
        <v>37.43333333333333</v>
      </c>
    </row>
    <row r="94" spans="1:8">
      <c r="A94" s="2"/>
      <c r="B94" s="2"/>
      <c r="C94" s="2"/>
      <c r="D94" s="2"/>
      <c r="E94" s="2"/>
      <c r="F94" s="2" t="str">
        <f>districts_app!A94</f>
        <v>istanbul-cekmekoy</v>
      </c>
      <c r="G94" s="2" t="str">
        <f>districts_app!D94</f>
        <v>İstanbul / Çekmeköy</v>
      </c>
      <c r="H94" s="2">
        <f>((districts_app!K94*$C$2)+(districts_app!L94*$C$3)+(districts_app!N94*$C$4)+(districts_app!P94*$C$5)+(districts_app!Q94*$C$6)+(districts_app!S94*$C$7))/SUM($C$2:$C$7)*5</f>
        <v>36.325000000000003</v>
      </c>
    </row>
    <row r="95" spans="1:8">
      <c r="A95" s="2"/>
      <c r="B95" s="2"/>
      <c r="C95" s="2"/>
      <c r="D95" s="2"/>
      <c r="E95" s="2"/>
      <c r="F95" s="2" t="str">
        <f>districts_app!A95</f>
        <v>istanbul-esenler</v>
      </c>
      <c r="G95" s="2" t="str">
        <f>districts_app!D95</f>
        <v>İstanbul / Esenler</v>
      </c>
      <c r="H95" s="2">
        <f>((districts_app!K95*$C$2)+(districts_app!L95*$C$3)+(districts_app!N95*$C$4)+(districts_app!P95*$C$5)+(districts_app!Q95*$C$6)+(districts_app!S95*$C$7))/SUM($C$2:$C$7)*5</f>
        <v>35.658333333333331</v>
      </c>
    </row>
    <row r="96" spans="1:8">
      <c r="A96" s="2"/>
      <c r="B96" s="2"/>
      <c r="C96" s="2"/>
      <c r="D96" s="2"/>
      <c r="E96" s="2"/>
      <c r="F96" s="2" t="str">
        <f>districts_app!A96</f>
        <v>istanbul-gaziosmanpasa</v>
      </c>
      <c r="G96" s="2" t="str">
        <f>districts_app!D96</f>
        <v>İstanbul / Gaziosmanpaşa</v>
      </c>
      <c r="H96" s="2">
        <f>((districts_app!K96*$C$2)+(districts_app!L96*$C$3)+(districts_app!N96*$C$4)+(districts_app!P96*$C$5)+(districts_app!Q96*$C$6)+(districts_app!S96*$C$7))/SUM($C$2:$C$7)*5</f>
        <v>35.141666666666666</v>
      </c>
    </row>
    <row r="97" spans="1:8">
      <c r="A97" s="2"/>
      <c r="B97" s="2"/>
      <c r="C97" s="2"/>
      <c r="D97" s="2"/>
      <c r="E97" s="2"/>
      <c r="F97" s="2" t="str">
        <f>districts_app!A97</f>
        <v>ankara-kecioren</v>
      </c>
      <c r="G97" s="2" t="str">
        <f>districts_app!D97</f>
        <v>Ankara / Keçiören</v>
      </c>
      <c r="H97" s="2">
        <f>((districts_app!K97*$C$2)+(districts_app!L97*$C$3)+(districts_app!N97*$C$4)+(districts_app!P97*$C$5)+(districts_app!Q97*$C$6)+(districts_app!S97*$C$7))/SUM($C$2:$C$7)*5</f>
        <v>35.141666666666666</v>
      </c>
    </row>
    <row r="98" spans="1:8">
      <c r="A98" s="2"/>
      <c r="B98" s="2"/>
      <c r="C98" s="2"/>
      <c r="D98" s="2"/>
      <c r="E98" s="2"/>
      <c r="F98" s="2" t="str">
        <f>districts_app!A98</f>
        <v>istanbul-sancaktepe</v>
      </c>
      <c r="G98" s="2" t="str">
        <f>districts_app!D98</f>
        <v>İstanbul / Sancaktepe</v>
      </c>
      <c r="H98" s="2">
        <f>((districts_app!K98*$C$2)+(districts_app!L98*$C$3)+(districts_app!N98*$C$4)+(districts_app!P98*$C$5)+(districts_app!Q98*$C$6)+(districts_app!S98*$C$7))/SUM($C$2:$C$7)*5</f>
        <v>33.774999999999999</v>
      </c>
    </row>
    <row r="99" spans="1:8">
      <c r="A99" s="2"/>
      <c r="B99" s="2"/>
      <c r="C99" s="2"/>
      <c r="D99" s="2"/>
      <c r="E99" s="2"/>
      <c r="F99" s="2" t="str">
        <f>districts_app!A99</f>
        <v>adana-seyhan</v>
      </c>
      <c r="G99" s="2" t="str">
        <f>districts_app!D99</f>
        <v>Adana / Seyhan</v>
      </c>
      <c r="H99" s="2">
        <f>((districts_app!K99*$C$2)+(districts_app!L99*$C$3)+(districts_app!N99*$C$4)+(districts_app!P99*$C$5)+(districts_app!Q99*$C$6)+(districts_app!S99*$C$7))/SUM($C$2:$C$7)*5</f>
        <v>32.94166666666667</v>
      </c>
    </row>
    <row r="100" spans="1:8">
      <c r="A100" s="2"/>
      <c r="B100" s="2"/>
      <c r="C100" s="2"/>
      <c r="D100" s="2"/>
      <c r="E100" s="2"/>
      <c r="F100" s="2" t="str">
        <f>districts_app!A100</f>
        <v>istanbul-bagcilar</v>
      </c>
      <c r="G100" s="2" t="str">
        <f>districts_app!D100</f>
        <v>İstanbul / Bağcılar</v>
      </c>
      <c r="H100" s="2">
        <f>((districts_app!K100*$C$2)+(districts_app!L100*$C$3)+(districts_app!N100*$C$4)+(districts_app!P100*$C$5)+(districts_app!Q100*$C$6)+(districts_app!S100*$C$7))/SUM($C$2:$C$7)*5</f>
        <v>32.583333333333336</v>
      </c>
    </row>
    <row r="101" spans="1:8">
      <c r="A101" s="2"/>
      <c r="B101" s="2"/>
      <c r="C101" s="2"/>
      <c r="D101" s="2"/>
      <c r="E101" s="2"/>
      <c r="F101" s="2" t="str">
        <f>districts_app!A101</f>
        <v>istanbul-esenyurt</v>
      </c>
      <c r="G101" s="2" t="str">
        <f>districts_app!D101</f>
        <v>İstanbul / Esenyurt</v>
      </c>
      <c r="H101" s="2">
        <f>((districts_app!K101*$C$2)+(districts_app!L101*$C$3)+(districts_app!N101*$C$4)+(districts_app!P101*$C$5)+(districts_app!Q101*$C$6)+(districts_app!S101*$C$7))/SUM($C$2:$C$7)*5</f>
        <v>31.133333333333333</v>
      </c>
    </row>
  </sheetData>
  <conditionalFormatting sqref="H2:H1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2:C7" xr:uid="{00000000-0002-0000-0300-000000000000}">
      <formula1>"1,2,3,4,5"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districts_app</vt:lpstr>
      <vt:lpstr>metric_config</vt:lpstr>
      <vt:lpstr>readme</vt:lpstr>
      <vt:lpstr>score_playground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Karasakal</dc:creator>
  <cp:lastModifiedBy>Ahmet Karasakal</cp:lastModifiedBy>
  <dcterms:created xsi:type="dcterms:W3CDTF">2026-05-12T21:54:32Z</dcterms:created>
  <dcterms:modified xsi:type="dcterms:W3CDTF">2026-05-12T21:54:32Z</dcterms:modified>
</cp:coreProperties>
</file>